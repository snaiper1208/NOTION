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mag\Downloads\"/>
    </mc:Choice>
  </mc:AlternateContent>
  <xr:revisionPtr revIDLastSave="0" documentId="13_ncr:1_{B88C3DE4-4B02-4E71-9693-22DE9F06EEF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일반·기술" sheetId="1" r:id="rId1"/>
    <sheet name="로컬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F16" i="2"/>
  <c r="E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F126" i="1"/>
  <c r="E126" i="1"/>
  <c r="D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</calcChain>
</file>

<file path=xl/sharedStrings.xml><?xml version="1.0" encoding="utf-8"?>
<sst xmlns="http://schemas.openxmlformats.org/spreadsheetml/2006/main" count="164" uniqueCount="146">
  <si>
    <t>일반/기술 파트 기관별 경쟁률</t>
  </si>
  <si>
    <t>총 118개 기관 · 접수자 비율 기반 배정</t>
  </si>
  <si>
    <t>총 지원자</t>
  </si>
  <si>
    <t>잔여 선발</t>
  </si>
  <si>
    <t>평균 경쟁률</t>
  </si>
  <si>
    <t>순위</t>
  </si>
  <si>
    <t>기관명</t>
  </si>
  <si>
    <t>접수완료(명)</t>
  </si>
  <si>
    <t>비율(%)</t>
  </si>
  <si>
    <t>배정 선발인원</t>
  </si>
  <si>
    <t>경쟁률</t>
  </si>
  <si>
    <t>경기창조경제혁신센터</t>
  </si>
  <si>
    <t>서울창조경제혁신센터</t>
  </si>
  <si>
    <t>스파크랩</t>
  </si>
  <si>
    <t>씨엔티테크(주)</t>
  </si>
  <si>
    <t>프라이머</t>
  </si>
  <si>
    <t>한남대학교</t>
  </si>
  <si>
    <t>호서대학교</t>
  </si>
  <si>
    <t>더인벤션랩</t>
  </si>
  <si>
    <t>페이스메이커스</t>
  </si>
  <si>
    <t>청년창업사관학교 본교(안산)</t>
  </si>
  <si>
    <t>성남산업진흥원</t>
  </si>
  <si>
    <t>상지대학교 창업보육센터</t>
  </si>
  <si>
    <t>대구창조경제혁신센터</t>
  </si>
  <si>
    <t>수원대학교</t>
  </si>
  <si>
    <t>단국대학교(용인)</t>
  </si>
  <si>
    <t>서울과학기술대학교</t>
  </si>
  <si>
    <t>대구보건대학교 산학협력단</t>
  </si>
  <si>
    <t>부산창조경제혁신센터</t>
  </si>
  <si>
    <t>벤처스퀘어</t>
  </si>
  <si>
    <t>인천대학교(협력대학:조지메이슨대학교)</t>
  </si>
  <si>
    <t>한양대학교</t>
  </si>
  <si>
    <t>강원대학교(KNU창업혁신원)</t>
  </si>
  <si>
    <t>고려대학교 크림슨창업지원단</t>
  </si>
  <si>
    <t>선문대학교(협력기관:한서대,순천향대,백석대)</t>
  </si>
  <si>
    <t>건국대학교</t>
  </si>
  <si>
    <t>전북창조경제혁신센터</t>
  </si>
  <si>
    <t>전남지역대학연합창업기술지주</t>
  </si>
  <si>
    <t>경북대학교 창업지원단</t>
  </si>
  <si>
    <t>인하대학교</t>
  </si>
  <si>
    <t>홍익대학교 산학협력단</t>
  </si>
  <si>
    <t>인포뱅크</t>
  </si>
  <si>
    <t>성균관대학교(협력대학:아주대학교)</t>
  </si>
  <si>
    <t>동국대학교 산학협력단(고양)</t>
  </si>
  <si>
    <t>전주대학교 창업지원단</t>
  </si>
  <si>
    <t>계명대학교</t>
  </si>
  <si>
    <t>광주창조경제혁신센터</t>
  </si>
  <si>
    <t>대구대학교</t>
  </si>
  <si>
    <t>광운대학교</t>
  </si>
  <si>
    <t>서울대학교 기술지주</t>
  </si>
  <si>
    <t>경남창조경제혁신센터</t>
  </si>
  <si>
    <t>동국대학교</t>
  </si>
  <si>
    <t>탭엔젤파트너스</t>
  </si>
  <si>
    <t>서울대학교(시흥)</t>
  </si>
  <si>
    <t>경기대학교</t>
  </si>
  <si>
    <t>부산대학교</t>
  </si>
  <si>
    <t>씨씨벤처스</t>
  </si>
  <si>
    <t>고려대학교 세종산학협력단</t>
  </si>
  <si>
    <t>연세대학교</t>
  </si>
  <si>
    <t>전북대학교</t>
  </si>
  <si>
    <t>더벤처스</t>
  </si>
  <si>
    <t>충북대학교</t>
  </si>
  <si>
    <t>중앙대학교</t>
  </si>
  <si>
    <t>강원창조경제혁신센터</t>
  </si>
  <si>
    <t>강원도립대학교</t>
  </si>
  <si>
    <t>인천창조경제혁신센터</t>
  </si>
  <si>
    <t>달구별(STAR)-BRIDGE 사업단</t>
  </si>
  <si>
    <t>광주과학기술원</t>
  </si>
  <si>
    <t>울산창조경제혁신센터</t>
  </si>
  <si>
    <t>대전창조경제혁신센터</t>
  </si>
  <si>
    <t>세종창조경제혁신센터</t>
  </si>
  <si>
    <t>건국대학교글로컬산학협력단 창업보육센터</t>
  </si>
  <si>
    <t>전남창조경제혁신센터</t>
  </si>
  <si>
    <t>경북창조경제혁신센터</t>
  </si>
  <si>
    <t>알파브라더스</t>
  </si>
  <si>
    <t>충남창조경제혁신센터</t>
  </si>
  <si>
    <t>가톨릭관동대학교</t>
  </si>
  <si>
    <t>큐네스티(구 한국사회투자)</t>
  </si>
  <si>
    <t>경상국립대학교</t>
  </si>
  <si>
    <t>이앤티이노베이션(주)</t>
  </si>
  <si>
    <t>청년창업사관학교 호남(광주)</t>
  </si>
  <si>
    <t>크립톤</t>
  </si>
  <si>
    <t>(주)포항연합기술지주</t>
  </si>
  <si>
    <t>제이원창업투자</t>
  </si>
  <si>
    <t>국립목포대학교 산학협력단</t>
  </si>
  <si>
    <t>퓨처플레이</t>
  </si>
  <si>
    <t>충북창조경제혁신센터</t>
  </si>
  <si>
    <t>부산연합기술지주</t>
  </si>
  <si>
    <t>주식회사 유닉</t>
  </si>
  <si>
    <t>피플인베스트먼트</t>
  </si>
  <si>
    <t>더이노베이터스</t>
  </si>
  <si>
    <t>전남대학교</t>
  </si>
  <si>
    <t>엔슬파트너스</t>
  </si>
  <si>
    <t>한국식품산업클러스터진흥원</t>
  </si>
  <si>
    <t>제주대학교 창업보육센터</t>
  </si>
  <si>
    <t>한국과학기술원(KAIST)</t>
  </si>
  <si>
    <t>인제대학교</t>
  </si>
  <si>
    <t>충남대학교</t>
  </si>
  <si>
    <t>소풍커넥트</t>
  </si>
  <si>
    <t>엠와이소셜컴퍼니</t>
  </si>
  <si>
    <t>플러그앤플레이</t>
  </si>
  <si>
    <t>이노빌드랩</t>
  </si>
  <si>
    <t>국립한밭대학교</t>
  </si>
  <si>
    <t>국립창원대학교</t>
  </si>
  <si>
    <t>빅뱅엔젤스</t>
  </si>
  <si>
    <t>아이디어파트너스</t>
  </si>
  <si>
    <t>제주창조경제혁신센터</t>
  </si>
  <si>
    <t>강원대학교기술지주</t>
  </si>
  <si>
    <t>에프원파트너스</t>
  </si>
  <si>
    <t>국립부경대학교</t>
  </si>
  <si>
    <t>국립공주대학교 산학협력단</t>
  </si>
  <si>
    <t>넥스트챌린지</t>
  </si>
  <si>
    <t>스마트파머</t>
  </si>
  <si>
    <t>유한회사 컴퍼니에이</t>
  </si>
  <si>
    <t>광주지역대학연합기술지주</t>
  </si>
  <si>
    <t>플랜에이치벤처스</t>
  </si>
  <si>
    <t>홍익대학교 벤처기업창업보육센터</t>
  </si>
  <si>
    <t>제이앤피메디파트너스 주식회사</t>
  </si>
  <si>
    <t>청년창업사관학교 경북(경산)</t>
  </si>
  <si>
    <t>청년창업사관학교 충남(천안)</t>
  </si>
  <si>
    <t>동강대학교 창업지원단</t>
  </si>
  <si>
    <t>JB벤처스</t>
  </si>
  <si>
    <t>시리즈벤처스</t>
  </si>
  <si>
    <t>젠엑시스(주)</t>
  </si>
  <si>
    <t>리벤처스</t>
  </si>
  <si>
    <t>로우파트너스</t>
  </si>
  <si>
    <t>경남청년창업사관학교(창원)</t>
  </si>
  <si>
    <t>(주)대경지역대학공동기술지주</t>
  </si>
  <si>
    <t>대덕벤처파트너스(유)</t>
  </si>
  <si>
    <t>합계</t>
  </si>
  <si>
    <t>118개 기관</t>
  </si>
  <si>
    <t>-</t>
  </si>
  <si>
    <t>로컬 파트 기관별 경쟁률</t>
  </si>
  <si>
    <t>총 8개 기관 · 권역별 배분</t>
  </si>
  <si>
    <t>권역</t>
  </si>
  <si>
    <t>수도권</t>
  </si>
  <si>
    <t>(주)글리처파트너스</t>
  </si>
  <si>
    <t>동남권</t>
  </si>
  <si>
    <t>중부권</t>
  </si>
  <si>
    <t>호남권</t>
  </si>
  <si>
    <t>대경권</t>
  </si>
  <si>
    <t>강원권</t>
  </si>
  <si>
    <t>전북도</t>
  </si>
  <si>
    <t>제주권</t>
  </si>
  <si>
    <t>8개 기관</t>
  </si>
  <si>
    <t>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</si>
</sst>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&quot;:1&quot;"/>
    <numFmt numFmtId="177" formatCode="0.00&quot; 명&quot;"/>
  </numFmts>
  <fonts count="13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0"/>
      <color rgb="FF3ECF6A"/>
      <name val="Noto Sans CJK SC"/>
      <family val="2"/>
    </font>
    <font>
      <b/>
      <sz val="11"/>
      <color rgb="FFFFFFFF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9C5700"/>
      <name val="맑은 고딕"/>
      <family val="3"/>
      <charset val="129"/>
    </font>
    <font>
      <b/>
      <sz val="10"/>
      <color rgb="FF9C5700"/>
      <name val="Noto Sans CJK SC"/>
      <family val="2"/>
    </font>
    <font>
      <sz val="10"/>
      <name val="Noto Sans CJK SC"/>
      <family val="2"/>
    </font>
    <font>
      <b/>
      <sz val="10"/>
      <color rgb="FFFFFFFF"/>
      <name val="Noto Sans CJK SC"/>
      <family val="2"/>
    </font>
    <font>
      <b/>
      <sz val="11"/>
      <name val="Noto Sans CJK SC"/>
      <family val="2"/>
    </font>
    <font>
      <b/>
      <sz val="11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D5F3F"/>
        <bgColor rgb="FF555555"/>
      </patternFill>
    </fill>
    <fill>
      <patternFill patternType="solid">
        <fgColor rgb="FF3ECF6A"/>
        <bgColor rgb="FF339966"/>
      </patternFill>
    </fill>
    <fill>
      <patternFill patternType="solid">
        <fgColor rgb="FFF0F0F0"/>
        <bgColor rgb="FFFAFAFA"/>
      </patternFill>
    </fill>
    <fill>
      <patternFill patternType="solid">
        <fgColor rgb="FF555555"/>
        <bgColor rgb="FF2D5F3F"/>
      </patternFill>
    </fill>
    <fill>
      <patternFill patternType="solid">
        <fgColor rgb="FFFAFAFA"/>
        <bgColor rgb="FFFFFFFF"/>
      </patternFill>
    </fill>
    <fill>
      <patternFill patternType="solid">
        <fgColor rgb="FFD9EAD3"/>
        <bgColor rgb="FFF0F0F0"/>
      </patternFill>
    </fill>
    <fill>
      <patternFill patternType="solid">
        <fgColor theme="0"/>
        <bgColor rgb="FFFFCC9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2D5F3F"/>
      </top>
      <bottom style="medium">
        <color rgb="FF2D5F3F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10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indent="1"/>
    </xf>
    <xf numFmtId="3" fontId="5" fillId="6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77" fontId="5" fillId="6" borderId="1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center" vertical="center"/>
    </xf>
    <xf numFmtId="10" fontId="11" fillId="7" borderId="1" xfId="0" applyNumberFormat="1" applyFont="1" applyFill="1" applyBorder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indent="1"/>
    </xf>
    <xf numFmtId="3" fontId="6" fillId="8" borderId="1" xfId="0" applyNumberFormat="1" applyFont="1" applyFill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177" fontId="6" fillId="8" borderId="1" xfId="0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B9C"/>
      <rgbColor rgb="FF99CCFF"/>
      <rgbColor rgb="FFFF99CC"/>
      <rgbColor rgb="FFCC99FF"/>
      <rgbColor rgb="FFFFCC99"/>
      <rgbColor rgb="FF3366FF"/>
      <rgbColor rgb="FF3ECF6A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D5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6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20" sqref="B20:G20"/>
    </sheetView>
  </sheetViews>
  <sheetFormatPr defaultColWidth="8.6640625" defaultRowHeight="14.4"/>
  <cols>
    <col min="1" max="1" width="2" customWidth="1"/>
    <col min="2" max="2" width="8" customWidth="1"/>
    <col min="3" max="3" width="48" customWidth="1"/>
    <col min="4" max="4" width="14" customWidth="1"/>
    <col min="5" max="5" width="12" customWidth="1"/>
    <col min="6" max="6" width="16" customWidth="1"/>
    <col min="7" max="7" width="12" customWidth="1"/>
  </cols>
  <sheetData>
    <row r="2" spans="2:7" ht="31.5" customHeight="1">
      <c r="B2" s="34" t="s">
        <v>0</v>
      </c>
      <c r="C2" s="33"/>
      <c r="D2" s="33"/>
      <c r="E2" s="33"/>
      <c r="F2" s="33"/>
      <c r="G2" s="33"/>
    </row>
    <row r="3" spans="2:7" ht="19.5" customHeight="1">
      <c r="B3" s="32" t="s">
        <v>1</v>
      </c>
      <c r="C3" s="33"/>
      <c r="D3" s="33"/>
      <c r="E3" s="33"/>
      <c r="F3" s="33"/>
      <c r="G3" s="33"/>
    </row>
    <row r="5" spans="2:7" ht="24" customHeight="1">
      <c r="B5" s="3" t="s">
        <v>2</v>
      </c>
      <c r="C5" s="4">
        <v>51907</v>
      </c>
      <c r="D5" s="3" t="s">
        <v>3</v>
      </c>
      <c r="E5" s="4">
        <v>3676</v>
      </c>
      <c r="F5" s="3" t="s">
        <v>4</v>
      </c>
      <c r="G5" s="5">
        <v>14.120511425462499</v>
      </c>
    </row>
    <row r="7" spans="2:7" ht="27.75" customHeight="1"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</row>
    <row r="8" spans="2:7" ht="15" customHeight="1">
      <c r="B8" s="7">
        <v>1</v>
      </c>
      <c r="C8" s="8" t="s">
        <v>11</v>
      </c>
      <c r="D8" s="1">
        <v>1200</v>
      </c>
      <c r="E8" s="9">
        <f t="shared" ref="E8:E39" si="0">D8/$C$5</f>
        <v>2.3118269212244975E-2</v>
      </c>
      <c r="F8" s="10">
        <f t="shared" ref="F8:F39" si="1">D8/$C$5*$E$5</f>
        <v>84.982757624212525</v>
      </c>
      <c r="G8" s="2">
        <f t="shared" ref="G8:G39" si="2">D8/F8</f>
        <v>14.12051142546246</v>
      </c>
    </row>
    <row r="9" spans="2:7" ht="15" customHeight="1">
      <c r="B9" s="11">
        <v>2</v>
      </c>
      <c r="C9" s="12" t="s">
        <v>12</v>
      </c>
      <c r="D9" s="13">
        <v>1200</v>
      </c>
      <c r="E9" s="14">
        <f t="shared" si="0"/>
        <v>2.3118269212244975E-2</v>
      </c>
      <c r="F9" s="15">
        <f t="shared" si="1"/>
        <v>84.982757624212525</v>
      </c>
      <c r="G9" s="16">
        <f t="shared" si="2"/>
        <v>14.12051142546246</v>
      </c>
    </row>
    <row r="10" spans="2:7" ht="15" customHeight="1">
      <c r="B10" s="7">
        <v>3</v>
      </c>
      <c r="C10" s="8" t="s">
        <v>13</v>
      </c>
      <c r="D10" s="1">
        <v>1200</v>
      </c>
      <c r="E10" s="9">
        <f t="shared" si="0"/>
        <v>2.3118269212244975E-2</v>
      </c>
      <c r="F10" s="10">
        <f t="shared" si="1"/>
        <v>84.982757624212525</v>
      </c>
      <c r="G10" s="2">
        <f t="shared" si="2"/>
        <v>14.12051142546246</v>
      </c>
    </row>
    <row r="11" spans="2:7" ht="15" customHeight="1">
      <c r="B11" s="11">
        <v>4</v>
      </c>
      <c r="C11" s="12" t="s">
        <v>14</v>
      </c>
      <c r="D11" s="13">
        <v>1200</v>
      </c>
      <c r="E11" s="14">
        <f t="shared" si="0"/>
        <v>2.3118269212244975E-2</v>
      </c>
      <c r="F11" s="15">
        <f t="shared" si="1"/>
        <v>84.982757624212525</v>
      </c>
      <c r="G11" s="16">
        <f t="shared" si="2"/>
        <v>14.12051142546246</v>
      </c>
    </row>
    <row r="12" spans="2:7" ht="15" customHeight="1">
      <c r="B12" s="7">
        <v>5</v>
      </c>
      <c r="C12" s="8" t="s">
        <v>15</v>
      </c>
      <c r="D12" s="1">
        <v>1200</v>
      </c>
      <c r="E12" s="9">
        <f t="shared" si="0"/>
        <v>2.3118269212244975E-2</v>
      </c>
      <c r="F12" s="10">
        <f t="shared" si="1"/>
        <v>84.982757624212525</v>
      </c>
      <c r="G12" s="2">
        <f t="shared" si="2"/>
        <v>14.12051142546246</v>
      </c>
    </row>
    <row r="13" spans="2:7" ht="15" customHeight="1">
      <c r="B13" s="11">
        <v>6</v>
      </c>
      <c r="C13" s="12" t="s">
        <v>16</v>
      </c>
      <c r="D13" s="13">
        <v>1200</v>
      </c>
      <c r="E13" s="14">
        <f t="shared" si="0"/>
        <v>2.3118269212244975E-2</v>
      </c>
      <c r="F13" s="15">
        <f t="shared" si="1"/>
        <v>84.982757624212525</v>
      </c>
      <c r="G13" s="16">
        <f t="shared" si="2"/>
        <v>14.12051142546246</v>
      </c>
    </row>
    <row r="14" spans="2:7" ht="15" customHeight="1">
      <c r="B14" s="7">
        <v>7</v>
      </c>
      <c r="C14" s="8" t="s">
        <v>17</v>
      </c>
      <c r="D14" s="1">
        <v>1200</v>
      </c>
      <c r="E14" s="9">
        <f t="shared" si="0"/>
        <v>2.3118269212244975E-2</v>
      </c>
      <c r="F14" s="10">
        <f t="shared" si="1"/>
        <v>84.982757624212525</v>
      </c>
      <c r="G14" s="2">
        <f t="shared" si="2"/>
        <v>14.12051142546246</v>
      </c>
    </row>
    <row r="15" spans="2:7" ht="15" customHeight="1">
      <c r="B15" s="11">
        <v>8</v>
      </c>
      <c r="C15" s="12" t="s">
        <v>18</v>
      </c>
      <c r="D15" s="13">
        <v>1199</v>
      </c>
      <c r="E15" s="14">
        <f t="shared" si="0"/>
        <v>2.3099003987901438E-2</v>
      </c>
      <c r="F15" s="15">
        <f t="shared" si="1"/>
        <v>84.911938659525688</v>
      </c>
      <c r="G15" s="16">
        <f t="shared" si="2"/>
        <v>14.120511425462459</v>
      </c>
    </row>
    <row r="16" spans="2:7" ht="15" customHeight="1">
      <c r="B16" s="7">
        <v>9</v>
      </c>
      <c r="C16" s="8" t="s">
        <v>19</v>
      </c>
      <c r="D16" s="1">
        <v>1168</v>
      </c>
      <c r="E16" s="9">
        <f t="shared" si="0"/>
        <v>2.2501782033251778E-2</v>
      </c>
      <c r="F16" s="10">
        <f t="shared" si="1"/>
        <v>82.716550754233538</v>
      </c>
      <c r="G16" s="2">
        <f t="shared" si="2"/>
        <v>14.120511425462459</v>
      </c>
    </row>
    <row r="17" spans="2:7" ht="15" customHeight="1">
      <c r="B17" s="11">
        <v>10</v>
      </c>
      <c r="C17" s="12" t="s">
        <v>20</v>
      </c>
      <c r="D17" s="13">
        <v>1158</v>
      </c>
      <c r="E17" s="14">
        <f t="shared" si="0"/>
        <v>2.2309129789816404E-2</v>
      </c>
      <c r="F17" s="15">
        <f t="shared" si="1"/>
        <v>82.008361107365104</v>
      </c>
      <c r="G17" s="16">
        <f t="shared" si="2"/>
        <v>14.120511425462457</v>
      </c>
    </row>
    <row r="18" spans="2:7" ht="15" customHeight="1">
      <c r="B18" s="7">
        <v>11</v>
      </c>
      <c r="C18" s="8" t="s">
        <v>21</v>
      </c>
      <c r="D18" s="1">
        <v>1083</v>
      </c>
      <c r="E18" s="9">
        <f t="shared" si="0"/>
        <v>2.086423796405109E-2</v>
      </c>
      <c r="F18" s="10">
        <f t="shared" si="1"/>
        <v>76.696938755851804</v>
      </c>
      <c r="G18" s="2">
        <f t="shared" si="2"/>
        <v>14.12051142546246</v>
      </c>
    </row>
    <row r="19" spans="2:7" ht="15" customHeight="1">
      <c r="B19" s="11">
        <v>12</v>
      </c>
      <c r="C19" s="12" t="s">
        <v>22</v>
      </c>
      <c r="D19" s="13">
        <v>1070</v>
      </c>
      <c r="E19" s="14">
        <f t="shared" si="0"/>
        <v>2.0613790047585102E-2</v>
      </c>
      <c r="F19" s="15">
        <f t="shared" si="1"/>
        <v>75.776292214922833</v>
      </c>
      <c r="G19" s="16">
        <f t="shared" si="2"/>
        <v>14.12051142546246</v>
      </c>
    </row>
    <row r="20" spans="2:7" ht="15" customHeight="1">
      <c r="B20" s="26">
        <v>13</v>
      </c>
      <c r="C20" s="27" t="s">
        <v>23</v>
      </c>
      <c r="D20" s="28">
        <v>1065</v>
      </c>
      <c r="E20" s="29">
        <f t="shared" si="0"/>
        <v>2.0517463925867417E-2</v>
      </c>
      <c r="F20" s="30">
        <f t="shared" si="1"/>
        <v>75.422197391488623</v>
      </c>
      <c r="G20" s="31">
        <f t="shared" si="2"/>
        <v>14.120511425462459</v>
      </c>
    </row>
    <row r="21" spans="2:7" ht="15" customHeight="1">
      <c r="B21" s="11">
        <v>14</v>
      </c>
      <c r="C21" s="12" t="s">
        <v>24</v>
      </c>
      <c r="D21" s="13">
        <v>937</v>
      </c>
      <c r="E21" s="14">
        <f t="shared" si="0"/>
        <v>1.805151520989462E-2</v>
      </c>
      <c r="F21" s="15">
        <f t="shared" si="1"/>
        <v>66.357369911572619</v>
      </c>
      <c r="G21" s="16">
        <f t="shared" si="2"/>
        <v>14.12051142546246</v>
      </c>
    </row>
    <row r="22" spans="2:7" ht="15" customHeight="1">
      <c r="B22" s="7">
        <v>15</v>
      </c>
      <c r="C22" s="8" t="s">
        <v>25</v>
      </c>
      <c r="D22" s="1">
        <v>920</v>
      </c>
      <c r="E22" s="9">
        <f t="shared" si="0"/>
        <v>1.7724006396054481E-2</v>
      </c>
      <c r="F22" s="10">
        <f t="shared" si="1"/>
        <v>65.153447511896275</v>
      </c>
      <c r="G22" s="2">
        <f t="shared" si="2"/>
        <v>14.120511425462459</v>
      </c>
    </row>
    <row r="23" spans="2:7" ht="15" customHeight="1">
      <c r="B23" s="11">
        <v>16</v>
      </c>
      <c r="C23" s="12" t="s">
        <v>26</v>
      </c>
      <c r="D23" s="13">
        <v>908</v>
      </c>
      <c r="E23" s="14">
        <f t="shared" si="0"/>
        <v>1.7492823703932032E-2</v>
      </c>
      <c r="F23" s="15">
        <f t="shared" si="1"/>
        <v>64.303619935654154</v>
      </c>
      <c r="G23" s="16">
        <f t="shared" si="2"/>
        <v>14.120511425462459</v>
      </c>
    </row>
    <row r="24" spans="2:7" ht="15" customHeight="1">
      <c r="B24" s="7">
        <v>17</v>
      </c>
      <c r="C24" s="8" t="s">
        <v>27</v>
      </c>
      <c r="D24" s="1">
        <v>885</v>
      </c>
      <c r="E24" s="9">
        <f t="shared" si="0"/>
        <v>1.704972354403067E-2</v>
      </c>
      <c r="F24" s="10">
        <f t="shared" si="1"/>
        <v>62.674783747856743</v>
      </c>
      <c r="G24" s="2">
        <f t="shared" si="2"/>
        <v>14.120511425462459</v>
      </c>
    </row>
    <row r="25" spans="2:7" ht="15" customHeight="1">
      <c r="B25" s="11">
        <v>18</v>
      </c>
      <c r="C25" s="12" t="s">
        <v>28</v>
      </c>
      <c r="D25" s="13">
        <v>849</v>
      </c>
      <c r="E25" s="14">
        <f t="shared" si="0"/>
        <v>1.6356175467663322E-2</v>
      </c>
      <c r="F25" s="15">
        <f t="shared" si="1"/>
        <v>60.125301019130369</v>
      </c>
      <c r="G25" s="16">
        <f t="shared" si="2"/>
        <v>14.120511425462459</v>
      </c>
    </row>
    <row r="26" spans="2:7" ht="15" customHeight="1">
      <c r="B26" s="7">
        <v>19</v>
      </c>
      <c r="C26" s="8" t="s">
        <v>29</v>
      </c>
      <c r="D26" s="1">
        <v>785</v>
      </c>
      <c r="E26" s="9">
        <f t="shared" si="0"/>
        <v>1.5123201109676921E-2</v>
      </c>
      <c r="F26" s="10">
        <f t="shared" si="1"/>
        <v>55.592887279172366</v>
      </c>
      <c r="G26" s="2">
        <f t="shared" si="2"/>
        <v>14.120511425462459</v>
      </c>
    </row>
    <row r="27" spans="2:7" ht="15" customHeight="1">
      <c r="B27" s="11">
        <v>20</v>
      </c>
      <c r="C27" s="12" t="s">
        <v>30</v>
      </c>
      <c r="D27" s="13">
        <v>760</v>
      </c>
      <c r="E27" s="14">
        <f t="shared" si="0"/>
        <v>1.4641570501088485E-2</v>
      </c>
      <c r="F27" s="15">
        <f t="shared" si="1"/>
        <v>53.822413162001268</v>
      </c>
      <c r="G27" s="16">
        <f t="shared" si="2"/>
        <v>14.12051142546246</v>
      </c>
    </row>
    <row r="28" spans="2:7" ht="15" customHeight="1">
      <c r="B28" s="7">
        <v>21</v>
      </c>
      <c r="C28" s="8" t="s">
        <v>31</v>
      </c>
      <c r="D28" s="1">
        <v>755</v>
      </c>
      <c r="E28" s="9">
        <f t="shared" si="0"/>
        <v>1.4545244379370798E-2</v>
      </c>
      <c r="F28" s="10">
        <f t="shared" si="1"/>
        <v>53.468318338567052</v>
      </c>
      <c r="G28" s="2">
        <f t="shared" si="2"/>
        <v>14.120511425462459</v>
      </c>
    </row>
    <row r="29" spans="2:7" ht="15" customHeight="1">
      <c r="B29" s="11">
        <v>22</v>
      </c>
      <c r="C29" s="12" t="s">
        <v>32</v>
      </c>
      <c r="D29" s="13">
        <v>753</v>
      </c>
      <c r="E29" s="14">
        <f t="shared" si="0"/>
        <v>1.4506713930683722E-2</v>
      </c>
      <c r="F29" s="15">
        <f t="shared" si="1"/>
        <v>53.326680409193365</v>
      </c>
      <c r="G29" s="16">
        <f t="shared" si="2"/>
        <v>14.120511425462459</v>
      </c>
    </row>
    <row r="30" spans="2:7" ht="15" customHeight="1">
      <c r="B30" s="7">
        <v>23</v>
      </c>
      <c r="C30" s="8" t="s">
        <v>33</v>
      </c>
      <c r="D30" s="1">
        <v>741</v>
      </c>
      <c r="E30" s="9">
        <f t="shared" si="0"/>
        <v>1.4275531238561272E-2</v>
      </c>
      <c r="F30" s="10">
        <f t="shared" si="1"/>
        <v>52.476852832951238</v>
      </c>
      <c r="G30" s="2">
        <f t="shared" si="2"/>
        <v>14.12051142546246</v>
      </c>
    </row>
    <row r="31" spans="2:7" ht="15" customHeight="1">
      <c r="B31" s="11">
        <v>24</v>
      </c>
      <c r="C31" s="12" t="s">
        <v>34</v>
      </c>
      <c r="D31" s="13">
        <v>726</v>
      </c>
      <c r="E31" s="14">
        <f t="shared" si="0"/>
        <v>1.3986552873408211E-2</v>
      </c>
      <c r="F31" s="15">
        <f t="shared" si="1"/>
        <v>51.414568362648588</v>
      </c>
      <c r="G31" s="16">
        <f t="shared" si="2"/>
        <v>14.120511425462459</v>
      </c>
    </row>
    <row r="32" spans="2:7" ht="15" customHeight="1">
      <c r="B32" s="7">
        <v>25</v>
      </c>
      <c r="C32" s="8" t="s">
        <v>35</v>
      </c>
      <c r="D32" s="1">
        <v>695</v>
      </c>
      <c r="E32" s="9">
        <f t="shared" si="0"/>
        <v>1.338933091875855E-2</v>
      </c>
      <c r="F32" s="10">
        <f t="shared" si="1"/>
        <v>49.21918045735643</v>
      </c>
      <c r="G32" s="2">
        <f t="shared" si="2"/>
        <v>14.120511425462459</v>
      </c>
    </row>
    <row r="33" spans="2:7" ht="15" customHeight="1">
      <c r="B33" s="11">
        <v>26</v>
      </c>
      <c r="C33" s="12" t="s">
        <v>36</v>
      </c>
      <c r="D33" s="13">
        <v>670</v>
      </c>
      <c r="E33" s="14">
        <f t="shared" si="0"/>
        <v>1.2907700310170111E-2</v>
      </c>
      <c r="F33" s="15">
        <f t="shared" si="1"/>
        <v>47.448706340185332</v>
      </c>
      <c r="G33" s="16">
        <f t="shared" si="2"/>
        <v>14.120511425462459</v>
      </c>
    </row>
    <row r="34" spans="2:7" ht="15" customHeight="1">
      <c r="B34" s="7">
        <v>27</v>
      </c>
      <c r="C34" s="8" t="s">
        <v>37</v>
      </c>
      <c r="D34" s="1">
        <v>652</v>
      </c>
      <c r="E34" s="9">
        <f t="shared" si="0"/>
        <v>1.2560926271986437E-2</v>
      </c>
      <c r="F34" s="10">
        <f t="shared" si="1"/>
        <v>46.173964975822145</v>
      </c>
      <c r="G34" s="2">
        <f t="shared" si="2"/>
        <v>14.120511425462459</v>
      </c>
    </row>
    <row r="35" spans="2:7" ht="15" customHeight="1">
      <c r="B35" s="11">
        <v>28</v>
      </c>
      <c r="C35" s="12" t="s">
        <v>38</v>
      </c>
      <c r="D35" s="13">
        <v>616</v>
      </c>
      <c r="E35" s="14">
        <f t="shared" si="0"/>
        <v>1.1867378195619088E-2</v>
      </c>
      <c r="F35" s="15">
        <f t="shared" si="1"/>
        <v>43.62448224709577</v>
      </c>
      <c r="G35" s="16">
        <f t="shared" si="2"/>
        <v>14.120511425462459</v>
      </c>
    </row>
    <row r="36" spans="2:7" ht="15" customHeight="1">
      <c r="B36" s="7">
        <v>29</v>
      </c>
      <c r="C36" s="8" t="s">
        <v>39</v>
      </c>
      <c r="D36" s="1">
        <v>616</v>
      </c>
      <c r="E36" s="9">
        <f t="shared" si="0"/>
        <v>1.1867378195619088E-2</v>
      </c>
      <c r="F36" s="10">
        <f t="shared" si="1"/>
        <v>43.62448224709577</v>
      </c>
      <c r="G36" s="2">
        <f t="shared" si="2"/>
        <v>14.120511425462459</v>
      </c>
    </row>
    <row r="37" spans="2:7" ht="15" customHeight="1">
      <c r="B37" s="11">
        <v>30</v>
      </c>
      <c r="C37" s="12" t="s">
        <v>40</v>
      </c>
      <c r="D37" s="13">
        <v>611</v>
      </c>
      <c r="E37" s="14">
        <f t="shared" si="0"/>
        <v>1.1771052073901401E-2</v>
      </c>
      <c r="F37" s="15">
        <f t="shared" si="1"/>
        <v>43.270387423661553</v>
      </c>
      <c r="G37" s="16">
        <f t="shared" si="2"/>
        <v>14.120511425462457</v>
      </c>
    </row>
    <row r="38" spans="2:7" ht="15" customHeight="1">
      <c r="B38" s="7">
        <v>31</v>
      </c>
      <c r="C38" s="8" t="s">
        <v>41</v>
      </c>
      <c r="D38" s="1">
        <v>608</v>
      </c>
      <c r="E38" s="9">
        <f t="shared" si="0"/>
        <v>1.1713256400870788E-2</v>
      </c>
      <c r="F38" s="10">
        <f t="shared" si="1"/>
        <v>43.057930529601016</v>
      </c>
      <c r="G38" s="2">
        <f t="shared" si="2"/>
        <v>14.12051142546246</v>
      </c>
    </row>
    <row r="39" spans="2:7" ht="15" customHeight="1">
      <c r="B39" s="11">
        <v>32</v>
      </c>
      <c r="C39" s="12" t="s">
        <v>42</v>
      </c>
      <c r="D39" s="13">
        <v>605</v>
      </c>
      <c r="E39" s="14">
        <f t="shared" si="0"/>
        <v>1.1655460727840176E-2</v>
      </c>
      <c r="F39" s="15">
        <f t="shared" si="1"/>
        <v>42.845473635540486</v>
      </c>
      <c r="G39" s="16">
        <f t="shared" si="2"/>
        <v>14.120511425462459</v>
      </c>
    </row>
    <row r="40" spans="2:7" ht="15" customHeight="1">
      <c r="B40" s="7">
        <v>33</v>
      </c>
      <c r="C40" s="8" t="s">
        <v>43</v>
      </c>
      <c r="D40" s="1">
        <v>593</v>
      </c>
      <c r="E40" s="9">
        <f t="shared" ref="E40:E71" si="3">D40/$C$5</f>
        <v>1.1424278035717725E-2</v>
      </c>
      <c r="F40" s="10">
        <f t="shared" ref="F40:F71" si="4">D40/$C$5*$E$5</f>
        <v>41.995646059298359</v>
      </c>
      <c r="G40" s="2">
        <f t="shared" ref="G40:G71" si="5">D40/F40</f>
        <v>14.12051142546246</v>
      </c>
    </row>
    <row r="41" spans="2:7" ht="15" customHeight="1">
      <c r="B41" s="11">
        <v>34</v>
      </c>
      <c r="C41" s="12" t="s">
        <v>44</v>
      </c>
      <c r="D41" s="13">
        <v>587</v>
      </c>
      <c r="E41" s="14">
        <f t="shared" si="3"/>
        <v>1.13086866896565E-2</v>
      </c>
      <c r="F41" s="15">
        <f t="shared" si="4"/>
        <v>41.570732271177299</v>
      </c>
      <c r="G41" s="16">
        <f t="shared" si="5"/>
        <v>14.120511425462459</v>
      </c>
    </row>
    <row r="42" spans="2:7" ht="15" customHeight="1">
      <c r="B42" s="7">
        <v>35</v>
      </c>
      <c r="C42" s="8" t="s">
        <v>45</v>
      </c>
      <c r="D42" s="1">
        <v>571</v>
      </c>
      <c r="E42" s="9">
        <f t="shared" si="3"/>
        <v>1.1000443100159902E-2</v>
      </c>
      <c r="F42" s="10">
        <f t="shared" si="4"/>
        <v>40.437628836187798</v>
      </c>
      <c r="G42" s="2">
        <f t="shared" si="5"/>
        <v>14.120511425462459</v>
      </c>
    </row>
    <row r="43" spans="2:7" ht="15" customHeight="1">
      <c r="B43" s="11">
        <v>36</v>
      </c>
      <c r="C43" s="12" t="s">
        <v>46</v>
      </c>
      <c r="D43" s="13">
        <v>567</v>
      </c>
      <c r="E43" s="14">
        <f t="shared" si="3"/>
        <v>1.0923382202785751E-2</v>
      </c>
      <c r="F43" s="15">
        <f t="shared" si="4"/>
        <v>40.154352977440418</v>
      </c>
      <c r="G43" s="16">
        <f t="shared" si="5"/>
        <v>14.12051142546246</v>
      </c>
    </row>
    <row r="44" spans="2:7" ht="15" customHeight="1">
      <c r="B44" s="7">
        <v>37</v>
      </c>
      <c r="C44" s="8" t="s">
        <v>47</v>
      </c>
      <c r="D44" s="1">
        <v>562</v>
      </c>
      <c r="E44" s="9">
        <f t="shared" si="3"/>
        <v>1.0827056081068064E-2</v>
      </c>
      <c r="F44" s="10">
        <f t="shared" si="4"/>
        <v>39.800258154006201</v>
      </c>
      <c r="G44" s="2">
        <f t="shared" si="5"/>
        <v>14.12051142546246</v>
      </c>
    </row>
    <row r="45" spans="2:7" ht="15" customHeight="1">
      <c r="B45" s="11">
        <v>38</v>
      </c>
      <c r="C45" s="12" t="s">
        <v>48</v>
      </c>
      <c r="D45" s="13">
        <v>550</v>
      </c>
      <c r="E45" s="14">
        <f t="shared" si="3"/>
        <v>1.0595873388945614E-2</v>
      </c>
      <c r="F45" s="15">
        <f t="shared" si="4"/>
        <v>38.950430577764074</v>
      </c>
      <c r="G45" s="16">
        <f t="shared" si="5"/>
        <v>14.12051142546246</v>
      </c>
    </row>
    <row r="46" spans="2:7" ht="15" customHeight="1">
      <c r="B46" s="7">
        <v>39</v>
      </c>
      <c r="C46" s="8" t="s">
        <v>49</v>
      </c>
      <c r="D46" s="1">
        <v>547</v>
      </c>
      <c r="E46" s="9">
        <f t="shared" si="3"/>
        <v>1.0538077715915002E-2</v>
      </c>
      <c r="F46" s="10">
        <f t="shared" si="4"/>
        <v>38.737973683703551</v>
      </c>
      <c r="G46" s="2">
        <f t="shared" si="5"/>
        <v>14.120511425462457</v>
      </c>
    </row>
    <row r="47" spans="2:7" ht="15" customHeight="1">
      <c r="B47" s="11">
        <v>40</v>
      </c>
      <c r="C47" s="12" t="s">
        <v>50</v>
      </c>
      <c r="D47" s="13">
        <v>537</v>
      </c>
      <c r="E47" s="14">
        <f t="shared" si="3"/>
        <v>1.0345425472479627E-2</v>
      </c>
      <c r="F47" s="15">
        <f t="shared" si="4"/>
        <v>38.02978403683511</v>
      </c>
      <c r="G47" s="16">
        <f t="shared" si="5"/>
        <v>14.120511425462459</v>
      </c>
    </row>
    <row r="48" spans="2:7" ht="15" customHeight="1">
      <c r="B48" s="7">
        <v>41</v>
      </c>
      <c r="C48" s="8" t="s">
        <v>51</v>
      </c>
      <c r="D48" s="1">
        <v>536</v>
      </c>
      <c r="E48" s="9">
        <f t="shared" si="3"/>
        <v>1.0326160248136089E-2</v>
      </c>
      <c r="F48" s="10">
        <f t="shared" si="4"/>
        <v>37.95896507214826</v>
      </c>
      <c r="G48" s="2">
        <f t="shared" si="5"/>
        <v>14.12051142546246</v>
      </c>
    </row>
    <row r="49" spans="2:7" ht="15" customHeight="1">
      <c r="B49" s="11">
        <v>42</v>
      </c>
      <c r="C49" s="12" t="s">
        <v>52</v>
      </c>
      <c r="D49" s="13">
        <v>528</v>
      </c>
      <c r="E49" s="14">
        <f t="shared" si="3"/>
        <v>1.017203845338779E-2</v>
      </c>
      <c r="F49" s="15">
        <f t="shared" si="4"/>
        <v>37.39241335465352</v>
      </c>
      <c r="G49" s="16">
        <f t="shared" si="5"/>
        <v>14.120511425462457</v>
      </c>
    </row>
    <row r="50" spans="2:7" ht="15" customHeight="1">
      <c r="B50" s="7">
        <v>43</v>
      </c>
      <c r="C50" s="8" t="s">
        <v>53</v>
      </c>
      <c r="D50" s="1">
        <v>514</v>
      </c>
      <c r="E50" s="9">
        <f t="shared" si="3"/>
        <v>9.9023253125782654E-3</v>
      </c>
      <c r="F50" s="10">
        <f t="shared" si="4"/>
        <v>36.400947849037706</v>
      </c>
      <c r="G50" s="2">
        <f t="shared" si="5"/>
        <v>14.120511425462457</v>
      </c>
    </row>
    <row r="51" spans="2:7" ht="15" customHeight="1">
      <c r="B51" s="11">
        <v>44</v>
      </c>
      <c r="C51" s="12" t="s">
        <v>54</v>
      </c>
      <c r="D51" s="13">
        <v>498</v>
      </c>
      <c r="E51" s="14">
        <f t="shared" si="3"/>
        <v>9.5940817230816648E-3</v>
      </c>
      <c r="F51" s="15">
        <f t="shared" si="4"/>
        <v>35.267844414048199</v>
      </c>
      <c r="G51" s="16">
        <f t="shared" si="5"/>
        <v>14.12051142546246</v>
      </c>
    </row>
    <row r="52" spans="2:7" ht="15" customHeight="1">
      <c r="B52" s="7">
        <v>45</v>
      </c>
      <c r="C52" s="8" t="s">
        <v>55</v>
      </c>
      <c r="D52" s="1">
        <v>453</v>
      </c>
      <c r="E52" s="9">
        <f t="shared" si="3"/>
        <v>8.7271466276224782E-3</v>
      </c>
      <c r="F52" s="10">
        <f t="shared" si="4"/>
        <v>32.080991003140227</v>
      </c>
      <c r="G52" s="2">
        <f t="shared" si="5"/>
        <v>14.120511425462462</v>
      </c>
    </row>
    <row r="53" spans="2:7" ht="15" customHeight="1">
      <c r="B53" s="11">
        <v>46</v>
      </c>
      <c r="C53" s="12" t="s">
        <v>56</v>
      </c>
      <c r="D53" s="13">
        <v>433</v>
      </c>
      <c r="E53" s="14">
        <f t="shared" si="3"/>
        <v>8.3418421407517283E-3</v>
      </c>
      <c r="F53" s="15">
        <f t="shared" si="4"/>
        <v>30.664611709403353</v>
      </c>
      <c r="G53" s="16">
        <f t="shared" si="5"/>
        <v>14.12051142546246</v>
      </c>
    </row>
    <row r="54" spans="2:7" ht="15" customHeight="1">
      <c r="B54" s="7">
        <v>47</v>
      </c>
      <c r="C54" s="8" t="s">
        <v>57</v>
      </c>
      <c r="D54" s="1">
        <v>427</v>
      </c>
      <c r="E54" s="9">
        <f t="shared" si="3"/>
        <v>8.2262507946905036E-3</v>
      </c>
      <c r="F54" s="10">
        <f t="shared" si="4"/>
        <v>30.239697921282293</v>
      </c>
      <c r="G54" s="2">
        <f t="shared" si="5"/>
        <v>14.120511425462459</v>
      </c>
    </row>
    <row r="55" spans="2:7" ht="15" customHeight="1">
      <c r="B55" s="11">
        <v>48</v>
      </c>
      <c r="C55" s="12" t="s">
        <v>58</v>
      </c>
      <c r="D55" s="13">
        <v>420</v>
      </c>
      <c r="E55" s="14">
        <f t="shared" si="3"/>
        <v>8.091394224285741E-3</v>
      </c>
      <c r="F55" s="15">
        <f t="shared" si="4"/>
        <v>29.743965168474386</v>
      </c>
      <c r="G55" s="16">
        <f t="shared" si="5"/>
        <v>14.12051142546246</v>
      </c>
    </row>
    <row r="56" spans="2:7" ht="15" customHeight="1">
      <c r="B56" s="7">
        <v>49</v>
      </c>
      <c r="C56" s="8" t="s">
        <v>59</v>
      </c>
      <c r="D56" s="1">
        <v>405</v>
      </c>
      <c r="E56" s="9">
        <f t="shared" si="3"/>
        <v>7.80241585913268E-3</v>
      </c>
      <c r="F56" s="10">
        <f t="shared" si="4"/>
        <v>28.681680698171732</v>
      </c>
      <c r="G56" s="2">
        <f t="shared" si="5"/>
        <v>14.120511425462459</v>
      </c>
    </row>
    <row r="57" spans="2:7" ht="15" customHeight="1">
      <c r="B57" s="11">
        <v>50</v>
      </c>
      <c r="C57" s="12" t="s">
        <v>60</v>
      </c>
      <c r="D57" s="13">
        <v>404</v>
      </c>
      <c r="E57" s="14">
        <f t="shared" si="3"/>
        <v>7.7831506347891422E-3</v>
      </c>
      <c r="F57" s="15">
        <f t="shared" si="4"/>
        <v>28.610861733484885</v>
      </c>
      <c r="G57" s="16">
        <f t="shared" si="5"/>
        <v>14.12051142546246</v>
      </c>
    </row>
    <row r="58" spans="2:7" ht="15" customHeight="1">
      <c r="B58" s="7">
        <v>51</v>
      </c>
      <c r="C58" s="8" t="s">
        <v>61</v>
      </c>
      <c r="D58" s="1">
        <v>393</v>
      </c>
      <c r="E58" s="9">
        <f t="shared" si="3"/>
        <v>7.5712331670102296E-3</v>
      </c>
      <c r="F58" s="10">
        <f t="shared" si="4"/>
        <v>27.831853121929605</v>
      </c>
      <c r="G58" s="2">
        <f t="shared" si="5"/>
        <v>14.120511425462459</v>
      </c>
    </row>
    <row r="59" spans="2:7" ht="15" customHeight="1">
      <c r="B59" s="11">
        <v>52</v>
      </c>
      <c r="C59" s="12" t="s">
        <v>62</v>
      </c>
      <c r="D59" s="13">
        <v>390</v>
      </c>
      <c r="E59" s="14">
        <f t="shared" si="3"/>
        <v>7.5134374939796172E-3</v>
      </c>
      <c r="F59" s="15">
        <f t="shared" si="4"/>
        <v>27.619396227869071</v>
      </c>
      <c r="G59" s="16">
        <f t="shared" si="5"/>
        <v>14.12051142546246</v>
      </c>
    </row>
    <row r="60" spans="2:7" ht="15" customHeight="1">
      <c r="B60" s="7">
        <v>53</v>
      </c>
      <c r="C60" s="8" t="s">
        <v>63</v>
      </c>
      <c r="D60" s="1">
        <v>368</v>
      </c>
      <c r="E60" s="9">
        <f t="shared" si="3"/>
        <v>7.0896025584217927E-3</v>
      </c>
      <c r="F60" s="10">
        <f t="shared" si="4"/>
        <v>26.061379004758511</v>
      </c>
      <c r="G60" s="2">
        <f t="shared" si="5"/>
        <v>14.120511425462459</v>
      </c>
    </row>
    <row r="61" spans="2:7" ht="15" customHeight="1">
      <c r="B61" s="11">
        <v>54</v>
      </c>
      <c r="C61" s="12" t="s">
        <v>64</v>
      </c>
      <c r="D61" s="13">
        <v>366</v>
      </c>
      <c r="E61" s="14">
        <f t="shared" si="3"/>
        <v>7.0510721097347181E-3</v>
      </c>
      <c r="F61" s="15">
        <f t="shared" si="4"/>
        <v>25.919741075384824</v>
      </c>
      <c r="G61" s="16">
        <f t="shared" si="5"/>
        <v>14.120511425462459</v>
      </c>
    </row>
    <row r="62" spans="2:7" ht="15" customHeight="1">
      <c r="B62" s="7">
        <v>55</v>
      </c>
      <c r="C62" s="8" t="s">
        <v>65</v>
      </c>
      <c r="D62" s="1">
        <v>362</v>
      </c>
      <c r="E62" s="9">
        <f t="shared" si="3"/>
        <v>6.9740112123605679E-3</v>
      </c>
      <c r="F62" s="10">
        <f t="shared" si="4"/>
        <v>25.636465216637447</v>
      </c>
      <c r="G62" s="2">
        <f t="shared" si="5"/>
        <v>14.12051142546246</v>
      </c>
    </row>
    <row r="63" spans="2:7" ht="15" customHeight="1">
      <c r="B63" s="11">
        <v>56</v>
      </c>
      <c r="C63" s="12" t="s">
        <v>66</v>
      </c>
      <c r="D63" s="13">
        <v>348</v>
      </c>
      <c r="E63" s="14">
        <f t="shared" si="3"/>
        <v>6.7042980715510429E-3</v>
      </c>
      <c r="F63" s="15">
        <f t="shared" si="4"/>
        <v>24.644999711021633</v>
      </c>
      <c r="G63" s="16">
        <f t="shared" si="5"/>
        <v>14.12051142546246</v>
      </c>
    </row>
    <row r="64" spans="2:7" ht="15" customHeight="1">
      <c r="B64" s="7">
        <v>57</v>
      </c>
      <c r="C64" s="8" t="s">
        <v>67</v>
      </c>
      <c r="D64" s="1">
        <v>346</v>
      </c>
      <c r="E64" s="9">
        <f t="shared" si="3"/>
        <v>6.6657676228639683E-3</v>
      </c>
      <c r="F64" s="10">
        <f t="shared" si="4"/>
        <v>24.503361781647946</v>
      </c>
      <c r="G64" s="2">
        <f t="shared" si="5"/>
        <v>14.12051142546246</v>
      </c>
    </row>
    <row r="65" spans="2:7" ht="15" customHeight="1">
      <c r="B65" s="11">
        <v>58</v>
      </c>
      <c r="C65" s="12" t="s">
        <v>68</v>
      </c>
      <c r="D65" s="13">
        <v>338</v>
      </c>
      <c r="E65" s="14">
        <f t="shared" si="3"/>
        <v>6.511645828115668E-3</v>
      </c>
      <c r="F65" s="15">
        <f t="shared" si="4"/>
        <v>23.936810064153196</v>
      </c>
      <c r="G65" s="16">
        <f t="shared" si="5"/>
        <v>14.12051142546246</v>
      </c>
    </row>
    <row r="66" spans="2:7" ht="15" customHeight="1">
      <c r="B66" s="7">
        <v>59</v>
      </c>
      <c r="C66" s="8" t="s">
        <v>69</v>
      </c>
      <c r="D66" s="1">
        <v>337</v>
      </c>
      <c r="E66" s="9">
        <f t="shared" si="3"/>
        <v>6.4923806037721311E-3</v>
      </c>
      <c r="F66" s="10">
        <f t="shared" si="4"/>
        <v>23.865991099466353</v>
      </c>
      <c r="G66" s="2">
        <f t="shared" si="5"/>
        <v>14.12051142546246</v>
      </c>
    </row>
    <row r="67" spans="2:7" ht="15" customHeight="1">
      <c r="B67" s="11">
        <v>60</v>
      </c>
      <c r="C67" s="12" t="s">
        <v>70</v>
      </c>
      <c r="D67" s="13">
        <v>336</v>
      </c>
      <c r="E67" s="14">
        <f t="shared" si="3"/>
        <v>6.4731153794285934E-3</v>
      </c>
      <c r="F67" s="15">
        <f t="shared" si="4"/>
        <v>23.795172134779509</v>
      </c>
      <c r="G67" s="16">
        <f t="shared" si="5"/>
        <v>14.120511425462459</v>
      </c>
    </row>
    <row r="68" spans="2:7" ht="15" customHeight="1">
      <c r="B68" s="7">
        <v>61</v>
      </c>
      <c r="C68" s="8" t="s">
        <v>71</v>
      </c>
      <c r="D68" s="1">
        <v>330</v>
      </c>
      <c r="E68" s="9">
        <f t="shared" si="3"/>
        <v>6.3575240333673686E-3</v>
      </c>
      <c r="F68" s="10">
        <f t="shared" si="4"/>
        <v>23.370258346658446</v>
      </c>
      <c r="G68" s="2">
        <f t="shared" si="5"/>
        <v>14.12051142546246</v>
      </c>
    </row>
    <row r="69" spans="2:7" ht="15" customHeight="1">
      <c r="B69" s="11">
        <v>62</v>
      </c>
      <c r="C69" s="12" t="s">
        <v>72</v>
      </c>
      <c r="D69" s="13">
        <v>330</v>
      </c>
      <c r="E69" s="14">
        <f t="shared" si="3"/>
        <v>6.3575240333673686E-3</v>
      </c>
      <c r="F69" s="15">
        <f t="shared" si="4"/>
        <v>23.370258346658446</v>
      </c>
      <c r="G69" s="16">
        <f t="shared" si="5"/>
        <v>14.12051142546246</v>
      </c>
    </row>
    <row r="70" spans="2:7" ht="15" customHeight="1">
      <c r="B70" s="7">
        <v>63</v>
      </c>
      <c r="C70" s="8" t="s">
        <v>73</v>
      </c>
      <c r="D70" s="1">
        <v>327</v>
      </c>
      <c r="E70" s="9">
        <f t="shared" si="3"/>
        <v>6.2997283603367562E-3</v>
      </c>
      <c r="F70" s="10">
        <f t="shared" si="4"/>
        <v>23.157801452597916</v>
      </c>
      <c r="G70" s="2">
        <f t="shared" si="5"/>
        <v>14.120511425462459</v>
      </c>
    </row>
    <row r="71" spans="2:7" ht="15" customHeight="1">
      <c r="B71" s="11">
        <v>64</v>
      </c>
      <c r="C71" s="12" t="s">
        <v>74</v>
      </c>
      <c r="D71" s="13">
        <v>315</v>
      </c>
      <c r="E71" s="14">
        <f t="shared" si="3"/>
        <v>6.0685456682143066E-3</v>
      </c>
      <c r="F71" s="15">
        <f t="shared" si="4"/>
        <v>22.307973876355792</v>
      </c>
      <c r="G71" s="16">
        <f t="shared" si="5"/>
        <v>14.120511425462459</v>
      </c>
    </row>
    <row r="72" spans="2:7" ht="15" customHeight="1">
      <c r="B72" s="7">
        <v>65</v>
      </c>
      <c r="C72" s="8" t="s">
        <v>75</v>
      </c>
      <c r="D72" s="1">
        <v>307</v>
      </c>
      <c r="E72" s="9">
        <f t="shared" ref="E72:E103" si="6">D72/$C$5</f>
        <v>5.9144238734660064E-3</v>
      </c>
      <c r="F72" s="10">
        <f t="shared" ref="F72:F103" si="7">D72/$C$5*$E$5</f>
        <v>21.741422158861038</v>
      </c>
      <c r="G72" s="2">
        <f t="shared" ref="G72:G103" si="8">D72/F72</f>
        <v>14.12051142546246</v>
      </c>
    </row>
    <row r="73" spans="2:7" ht="15" customHeight="1">
      <c r="B73" s="11">
        <v>66</v>
      </c>
      <c r="C73" s="12" t="s">
        <v>76</v>
      </c>
      <c r="D73" s="13">
        <v>290</v>
      </c>
      <c r="E73" s="14">
        <f t="shared" si="6"/>
        <v>5.5869150596258689E-3</v>
      </c>
      <c r="F73" s="15">
        <f t="shared" si="7"/>
        <v>20.537499759184694</v>
      </c>
      <c r="G73" s="16">
        <f t="shared" si="8"/>
        <v>14.12051142546246</v>
      </c>
    </row>
    <row r="74" spans="2:7" ht="15" customHeight="1">
      <c r="B74" s="7">
        <v>67</v>
      </c>
      <c r="C74" s="8" t="s">
        <v>77</v>
      </c>
      <c r="D74" s="1">
        <v>282</v>
      </c>
      <c r="E74" s="9">
        <f t="shared" si="6"/>
        <v>5.4327932648775695E-3</v>
      </c>
      <c r="F74" s="10">
        <f t="shared" si="7"/>
        <v>19.970948041689944</v>
      </c>
      <c r="G74" s="2">
        <f t="shared" si="8"/>
        <v>14.12051142546246</v>
      </c>
    </row>
    <row r="75" spans="2:7" ht="15" customHeight="1">
      <c r="B75" s="11">
        <v>68</v>
      </c>
      <c r="C75" s="12" t="s">
        <v>78</v>
      </c>
      <c r="D75" s="13">
        <v>279</v>
      </c>
      <c r="E75" s="14">
        <f t="shared" si="6"/>
        <v>5.3749975918469571E-3</v>
      </c>
      <c r="F75" s="15">
        <f t="shared" si="7"/>
        <v>19.758491147629414</v>
      </c>
      <c r="G75" s="16">
        <f t="shared" si="8"/>
        <v>14.120511425462459</v>
      </c>
    </row>
    <row r="76" spans="2:7" ht="15" customHeight="1">
      <c r="B76" s="7">
        <v>69</v>
      </c>
      <c r="C76" s="8" t="s">
        <v>79</v>
      </c>
      <c r="D76" s="1">
        <v>272</v>
      </c>
      <c r="E76" s="9">
        <f t="shared" si="6"/>
        <v>5.2401410214421946E-3</v>
      </c>
      <c r="F76" s="10">
        <f t="shared" si="7"/>
        <v>19.262758394821507</v>
      </c>
      <c r="G76" s="2">
        <f t="shared" si="8"/>
        <v>14.12051142546246</v>
      </c>
    </row>
    <row r="77" spans="2:7" ht="15" customHeight="1">
      <c r="B77" s="11">
        <v>70</v>
      </c>
      <c r="C77" s="12" t="s">
        <v>80</v>
      </c>
      <c r="D77" s="13">
        <v>266</v>
      </c>
      <c r="E77" s="14">
        <f t="shared" si="6"/>
        <v>5.1245496753809698E-3</v>
      </c>
      <c r="F77" s="15">
        <f t="shared" si="7"/>
        <v>18.837844606700447</v>
      </c>
      <c r="G77" s="16">
        <f t="shared" si="8"/>
        <v>14.120511425462459</v>
      </c>
    </row>
    <row r="78" spans="2:7" ht="15" customHeight="1">
      <c r="B78" s="7">
        <v>71</v>
      </c>
      <c r="C78" s="8" t="s">
        <v>81</v>
      </c>
      <c r="D78" s="1">
        <v>259</v>
      </c>
      <c r="E78" s="9">
        <f t="shared" si="6"/>
        <v>4.9896931049762073E-3</v>
      </c>
      <c r="F78" s="10">
        <f t="shared" si="7"/>
        <v>18.34211185389254</v>
      </c>
      <c r="G78" s="2">
        <f t="shared" si="8"/>
        <v>14.120511425462459</v>
      </c>
    </row>
    <row r="79" spans="2:7" ht="15" customHeight="1">
      <c r="B79" s="11">
        <v>72</v>
      </c>
      <c r="C79" s="17" t="s">
        <v>82</v>
      </c>
      <c r="D79" s="13">
        <v>258</v>
      </c>
      <c r="E79" s="14">
        <f t="shared" si="6"/>
        <v>4.9704278806326696E-3</v>
      </c>
      <c r="F79" s="15">
        <f t="shared" si="7"/>
        <v>18.271292889205693</v>
      </c>
      <c r="G79" s="16">
        <f t="shared" si="8"/>
        <v>14.12051142546246</v>
      </c>
    </row>
    <row r="80" spans="2:7" ht="15" customHeight="1">
      <c r="B80" s="7">
        <v>73</v>
      </c>
      <c r="C80" s="8" t="s">
        <v>83</v>
      </c>
      <c r="D80" s="1">
        <v>249</v>
      </c>
      <c r="E80" s="9">
        <f t="shared" si="6"/>
        <v>4.7970408615408324E-3</v>
      </c>
      <c r="F80" s="10">
        <f t="shared" si="7"/>
        <v>17.633922207024099</v>
      </c>
      <c r="G80" s="2">
        <f t="shared" si="8"/>
        <v>14.12051142546246</v>
      </c>
    </row>
    <row r="81" spans="2:7" ht="15" customHeight="1">
      <c r="B81" s="11">
        <v>74</v>
      </c>
      <c r="C81" s="12" t="s">
        <v>84</v>
      </c>
      <c r="D81" s="13">
        <v>235</v>
      </c>
      <c r="E81" s="14">
        <f t="shared" si="6"/>
        <v>4.5273277207313082E-3</v>
      </c>
      <c r="F81" s="15">
        <f t="shared" si="7"/>
        <v>16.642456701408289</v>
      </c>
      <c r="G81" s="16">
        <f t="shared" si="8"/>
        <v>14.120511425462459</v>
      </c>
    </row>
    <row r="82" spans="2:7" ht="15" customHeight="1">
      <c r="B82" s="7">
        <v>75</v>
      </c>
      <c r="C82" s="8" t="s">
        <v>85</v>
      </c>
      <c r="D82" s="1">
        <v>233</v>
      </c>
      <c r="E82" s="9">
        <f t="shared" si="6"/>
        <v>4.4887972720442327E-3</v>
      </c>
      <c r="F82" s="10">
        <f t="shared" si="7"/>
        <v>16.500818772034599</v>
      </c>
      <c r="G82" s="2">
        <f t="shared" si="8"/>
        <v>14.12051142546246</v>
      </c>
    </row>
    <row r="83" spans="2:7" ht="15" customHeight="1">
      <c r="B83" s="11">
        <v>76</v>
      </c>
      <c r="C83" s="12" t="s">
        <v>86</v>
      </c>
      <c r="D83" s="13">
        <v>219</v>
      </c>
      <c r="E83" s="14">
        <f t="shared" si="6"/>
        <v>4.2190841312347085E-3</v>
      </c>
      <c r="F83" s="15">
        <f t="shared" si="7"/>
        <v>15.509353266418788</v>
      </c>
      <c r="G83" s="16">
        <f t="shared" si="8"/>
        <v>14.120511425462459</v>
      </c>
    </row>
    <row r="84" spans="2:7" ht="15" customHeight="1">
      <c r="B84" s="7">
        <v>77</v>
      </c>
      <c r="C84" s="8" t="s">
        <v>87</v>
      </c>
      <c r="D84" s="1">
        <v>215</v>
      </c>
      <c r="E84" s="9">
        <f t="shared" si="6"/>
        <v>4.1420232338605584E-3</v>
      </c>
      <c r="F84" s="10">
        <f t="shared" si="7"/>
        <v>15.226077407671413</v>
      </c>
      <c r="G84" s="2">
        <f t="shared" si="8"/>
        <v>14.120511425462459</v>
      </c>
    </row>
    <row r="85" spans="2:7" ht="15" customHeight="1">
      <c r="B85" s="11">
        <v>78</v>
      </c>
      <c r="C85" s="12" t="s">
        <v>88</v>
      </c>
      <c r="D85" s="13">
        <v>212</v>
      </c>
      <c r="E85" s="14">
        <f t="shared" si="6"/>
        <v>4.084227560829946E-3</v>
      </c>
      <c r="F85" s="15">
        <f t="shared" si="7"/>
        <v>15.013620513610881</v>
      </c>
      <c r="G85" s="16">
        <f t="shared" si="8"/>
        <v>14.120511425462459</v>
      </c>
    </row>
    <row r="86" spans="2:7" ht="15" customHeight="1">
      <c r="B86" s="7">
        <v>79</v>
      </c>
      <c r="C86" s="8" t="s">
        <v>89</v>
      </c>
      <c r="D86" s="1">
        <v>211</v>
      </c>
      <c r="E86" s="9">
        <f t="shared" si="6"/>
        <v>4.0649623364864083E-3</v>
      </c>
      <c r="F86" s="10">
        <f t="shared" si="7"/>
        <v>14.942801548924036</v>
      </c>
      <c r="G86" s="2">
        <f t="shared" si="8"/>
        <v>14.12051142546246</v>
      </c>
    </row>
    <row r="87" spans="2:7" ht="15" customHeight="1">
      <c r="B87" s="11">
        <v>80</v>
      </c>
      <c r="C87" s="12" t="s">
        <v>90</v>
      </c>
      <c r="D87" s="13">
        <v>202</v>
      </c>
      <c r="E87" s="14">
        <f t="shared" si="6"/>
        <v>3.8915753173945711E-3</v>
      </c>
      <c r="F87" s="15">
        <f t="shared" si="7"/>
        <v>14.305430866742443</v>
      </c>
      <c r="G87" s="16">
        <f t="shared" si="8"/>
        <v>14.12051142546246</v>
      </c>
    </row>
    <row r="88" spans="2:7" ht="15" customHeight="1">
      <c r="B88" s="7">
        <v>81</v>
      </c>
      <c r="C88" s="8" t="s">
        <v>91</v>
      </c>
      <c r="D88" s="1">
        <v>192</v>
      </c>
      <c r="E88" s="9">
        <f t="shared" si="6"/>
        <v>3.6989230739591962E-3</v>
      </c>
      <c r="F88" s="10">
        <f t="shared" si="7"/>
        <v>13.597241219874006</v>
      </c>
      <c r="G88" s="2">
        <f t="shared" si="8"/>
        <v>14.120511425462459</v>
      </c>
    </row>
    <row r="89" spans="2:7" ht="15" customHeight="1">
      <c r="B89" s="11">
        <v>82</v>
      </c>
      <c r="C89" s="12" t="s">
        <v>92</v>
      </c>
      <c r="D89" s="13">
        <v>190</v>
      </c>
      <c r="E89" s="14">
        <f t="shared" si="6"/>
        <v>3.6603926252721211E-3</v>
      </c>
      <c r="F89" s="15">
        <f t="shared" si="7"/>
        <v>13.455603290500317</v>
      </c>
      <c r="G89" s="16">
        <f t="shared" si="8"/>
        <v>14.12051142546246</v>
      </c>
    </row>
    <row r="90" spans="2:7" ht="15" customHeight="1">
      <c r="B90" s="7">
        <v>83</v>
      </c>
      <c r="C90" s="8" t="s">
        <v>93</v>
      </c>
      <c r="D90" s="1">
        <v>188</v>
      </c>
      <c r="E90" s="9">
        <f t="shared" si="6"/>
        <v>3.6218621765850465E-3</v>
      </c>
      <c r="F90" s="10">
        <f t="shared" si="7"/>
        <v>13.31396536112663</v>
      </c>
      <c r="G90" s="2">
        <f t="shared" si="8"/>
        <v>14.120511425462459</v>
      </c>
    </row>
    <row r="91" spans="2:7" ht="15" customHeight="1">
      <c r="B91" s="11">
        <v>84</v>
      </c>
      <c r="C91" s="12" t="s">
        <v>94</v>
      </c>
      <c r="D91" s="13">
        <v>187</v>
      </c>
      <c r="E91" s="14">
        <f t="shared" si="6"/>
        <v>3.6025969522415087E-3</v>
      </c>
      <c r="F91" s="15">
        <f t="shared" si="7"/>
        <v>13.243146396439785</v>
      </c>
      <c r="G91" s="16">
        <f t="shared" si="8"/>
        <v>14.12051142546246</v>
      </c>
    </row>
    <row r="92" spans="2:7" ht="15" customHeight="1">
      <c r="B92" s="7">
        <v>85</v>
      </c>
      <c r="C92" s="8" t="s">
        <v>95</v>
      </c>
      <c r="D92" s="1">
        <v>186</v>
      </c>
      <c r="E92" s="9">
        <f t="shared" si="6"/>
        <v>3.5833317278979714E-3</v>
      </c>
      <c r="F92" s="10">
        <f t="shared" si="7"/>
        <v>13.172327431752944</v>
      </c>
      <c r="G92" s="2">
        <f t="shared" si="8"/>
        <v>14.120511425462459</v>
      </c>
    </row>
    <row r="93" spans="2:7" ht="15" customHeight="1">
      <c r="B93" s="11">
        <v>86</v>
      </c>
      <c r="C93" s="12" t="s">
        <v>96</v>
      </c>
      <c r="D93" s="13">
        <v>181</v>
      </c>
      <c r="E93" s="14">
        <f t="shared" si="6"/>
        <v>3.487005606180284E-3</v>
      </c>
      <c r="F93" s="15">
        <f t="shared" si="7"/>
        <v>12.818232608318723</v>
      </c>
      <c r="G93" s="16">
        <f t="shared" si="8"/>
        <v>14.12051142546246</v>
      </c>
    </row>
    <row r="94" spans="2:7" ht="15" customHeight="1">
      <c r="B94" s="7">
        <v>87</v>
      </c>
      <c r="C94" s="8" t="s">
        <v>97</v>
      </c>
      <c r="D94" s="1">
        <v>180</v>
      </c>
      <c r="E94" s="9">
        <f t="shared" si="6"/>
        <v>3.4677403818367467E-3</v>
      </c>
      <c r="F94" s="10">
        <f t="shared" si="7"/>
        <v>12.74741364363188</v>
      </c>
      <c r="G94" s="2">
        <f t="shared" si="8"/>
        <v>14.120511425462459</v>
      </c>
    </row>
    <row r="95" spans="2:7" ht="15" customHeight="1">
      <c r="B95" s="11">
        <v>88</v>
      </c>
      <c r="C95" s="12" t="s">
        <v>98</v>
      </c>
      <c r="D95" s="13">
        <v>176</v>
      </c>
      <c r="E95" s="14">
        <f t="shared" si="6"/>
        <v>3.3906794844625965E-3</v>
      </c>
      <c r="F95" s="15">
        <f t="shared" si="7"/>
        <v>12.464137784884505</v>
      </c>
      <c r="G95" s="16">
        <f t="shared" si="8"/>
        <v>14.120511425462459</v>
      </c>
    </row>
    <row r="96" spans="2:7" ht="15" customHeight="1">
      <c r="B96" s="7">
        <v>89</v>
      </c>
      <c r="C96" s="8" t="s">
        <v>99</v>
      </c>
      <c r="D96" s="1">
        <v>174</v>
      </c>
      <c r="E96" s="9">
        <f t="shared" si="6"/>
        <v>3.3521490357755214E-3</v>
      </c>
      <c r="F96" s="10">
        <f t="shared" si="7"/>
        <v>12.322499855510817</v>
      </c>
      <c r="G96" s="2">
        <f t="shared" si="8"/>
        <v>14.12051142546246</v>
      </c>
    </row>
    <row r="97" spans="2:7" ht="15" customHeight="1">
      <c r="B97" s="11">
        <v>90</v>
      </c>
      <c r="C97" s="12" t="s">
        <v>100</v>
      </c>
      <c r="D97" s="13">
        <v>172</v>
      </c>
      <c r="E97" s="14">
        <f t="shared" si="6"/>
        <v>3.3136185870884468E-3</v>
      </c>
      <c r="F97" s="15">
        <f t="shared" si="7"/>
        <v>12.18086192613713</v>
      </c>
      <c r="G97" s="16">
        <f t="shared" si="8"/>
        <v>14.120511425462459</v>
      </c>
    </row>
    <row r="98" spans="2:7" ht="15" customHeight="1">
      <c r="B98" s="7">
        <v>91</v>
      </c>
      <c r="C98" s="8" t="s">
        <v>101</v>
      </c>
      <c r="D98" s="1">
        <v>159</v>
      </c>
      <c r="E98" s="9">
        <f t="shared" si="6"/>
        <v>3.0631706706224595E-3</v>
      </c>
      <c r="F98" s="10">
        <f t="shared" si="7"/>
        <v>11.260215385208161</v>
      </c>
      <c r="G98" s="2">
        <f t="shared" si="8"/>
        <v>14.120511425462459</v>
      </c>
    </row>
    <row r="99" spans="2:7" ht="15" customHeight="1">
      <c r="B99" s="11">
        <v>92</v>
      </c>
      <c r="C99" s="12" t="s">
        <v>102</v>
      </c>
      <c r="D99" s="13">
        <v>157</v>
      </c>
      <c r="E99" s="14">
        <f t="shared" si="6"/>
        <v>3.0246402219353844E-3</v>
      </c>
      <c r="F99" s="15">
        <f t="shared" si="7"/>
        <v>11.118577455834473</v>
      </c>
      <c r="G99" s="16">
        <f t="shared" si="8"/>
        <v>14.12051142546246</v>
      </c>
    </row>
    <row r="100" spans="2:7" ht="15" customHeight="1">
      <c r="B100" s="7">
        <v>93</v>
      </c>
      <c r="C100" s="8" t="s">
        <v>103</v>
      </c>
      <c r="D100" s="1">
        <v>156</v>
      </c>
      <c r="E100" s="9">
        <f t="shared" si="6"/>
        <v>3.0053749975918471E-3</v>
      </c>
      <c r="F100" s="10">
        <f t="shared" si="7"/>
        <v>11.047758491147629</v>
      </c>
      <c r="G100" s="2">
        <f t="shared" si="8"/>
        <v>14.120511425462459</v>
      </c>
    </row>
    <row r="101" spans="2:7" ht="15" customHeight="1">
      <c r="B101" s="11">
        <v>94</v>
      </c>
      <c r="C101" s="12" t="s">
        <v>104</v>
      </c>
      <c r="D101" s="13">
        <v>146</v>
      </c>
      <c r="E101" s="14">
        <f t="shared" si="6"/>
        <v>2.8127227541564722E-3</v>
      </c>
      <c r="F101" s="15">
        <f t="shared" si="7"/>
        <v>10.339568844279192</v>
      </c>
      <c r="G101" s="16">
        <f t="shared" si="8"/>
        <v>14.120511425462459</v>
      </c>
    </row>
    <row r="102" spans="2:7" ht="15" customHeight="1">
      <c r="B102" s="7">
        <v>95</v>
      </c>
      <c r="C102" s="8" t="s">
        <v>105</v>
      </c>
      <c r="D102" s="1">
        <v>143</v>
      </c>
      <c r="E102" s="9">
        <f t="shared" si="6"/>
        <v>2.7549270811258598E-3</v>
      </c>
      <c r="F102" s="10">
        <f t="shared" si="7"/>
        <v>10.12711195021866</v>
      </c>
      <c r="G102" s="2">
        <f t="shared" si="8"/>
        <v>14.120511425462459</v>
      </c>
    </row>
    <row r="103" spans="2:7" ht="15" customHeight="1">
      <c r="B103" s="11">
        <v>96</v>
      </c>
      <c r="C103" s="12" t="s">
        <v>106</v>
      </c>
      <c r="D103" s="13">
        <v>139</v>
      </c>
      <c r="E103" s="14">
        <f t="shared" si="6"/>
        <v>2.6778661837517097E-3</v>
      </c>
      <c r="F103" s="15">
        <f t="shared" si="7"/>
        <v>9.8438360914712852</v>
      </c>
      <c r="G103" s="16">
        <f t="shared" si="8"/>
        <v>14.120511425462459</v>
      </c>
    </row>
    <row r="104" spans="2:7" ht="15" customHeight="1">
      <c r="B104" s="7">
        <v>97</v>
      </c>
      <c r="C104" s="8" t="s">
        <v>107</v>
      </c>
      <c r="D104" s="1">
        <v>138</v>
      </c>
      <c r="E104" s="9">
        <f t="shared" ref="E104:E125" si="9">D104/$C$5</f>
        <v>2.6586009594081724E-3</v>
      </c>
      <c r="F104" s="10">
        <f t="shared" ref="F104:F125" si="10">D104/$C$5*$E$5</f>
        <v>9.7730171267844419</v>
      </c>
      <c r="G104" s="2">
        <f t="shared" ref="G104:G125" si="11">D104/F104</f>
        <v>14.120511425462459</v>
      </c>
    </row>
    <row r="105" spans="2:7" ht="15" customHeight="1">
      <c r="B105" s="11">
        <v>98</v>
      </c>
      <c r="C105" s="12" t="s">
        <v>108</v>
      </c>
      <c r="D105" s="13">
        <v>136</v>
      </c>
      <c r="E105" s="14">
        <f t="shared" si="9"/>
        <v>2.6200705107210973E-3</v>
      </c>
      <c r="F105" s="15">
        <f t="shared" si="10"/>
        <v>9.6313791974107534</v>
      </c>
      <c r="G105" s="16">
        <f t="shared" si="11"/>
        <v>14.12051142546246</v>
      </c>
    </row>
    <row r="106" spans="2:7" ht="15" customHeight="1">
      <c r="B106" s="7">
        <v>99</v>
      </c>
      <c r="C106" s="8" t="s">
        <v>109</v>
      </c>
      <c r="D106" s="1">
        <v>134</v>
      </c>
      <c r="E106" s="9">
        <f t="shared" si="9"/>
        <v>2.5815400620340222E-3</v>
      </c>
      <c r="F106" s="10">
        <f t="shared" si="10"/>
        <v>9.489741268037065</v>
      </c>
      <c r="G106" s="2">
        <f t="shared" si="11"/>
        <v>14.12051142546246</v>
      </c>
    </row>
    <row r="107" spans="2:7" ht="15" customHeight="1">
      <c r="B107" s="11">
        <v>100</v>
      </c>
      <c r="C107" s="12" t="s">
        <v>110</v>
      </c>
      <c r="D107" s="13">
        <v>130</v>
      </c>
      <c r="E107" s="14">
        <f t="shared" si="9"/>
        <v>2.5044791646598725E-3</v>
      </c>
      <c r="F107" s="15">
        <f t="shared" si="10"/>
        <v>9.2064654092896916</v>
      </c>
      <c r="G107" s="16">
        <f t="shared" si="11"/>
        <v>14.120511425462459</v>
      </c>
    </row>
    <row r="108" spans="2:7" ht="15" customHeight="1">
      <c r="B108" s="7">
        <v>101</v>
      </c>
      <c r="C108" s="8" t="s">
        <v>111</v>
      </c>
      <c r="D108" s="1">
        <v>123</v>
      </c>
      <c r="E108" s="9">
        <f t="shared" si="9"/>
        <v>2.36962259425511E-3</v>
      </c>
      <c r="F108" s="10">
        <f t="shared" si="10"/>
        <v>8.7107326564817846</v>
      </c>
      <c r="G108" s="2">
        <f t="shared" si="11"/>
        <v>14.120511425462459</v>
      </c>
    </row>
    <row r="109" spans="2:7" ht="15" customHeight="1">
      <c r="B109" s="11">
        <v>102</v>
      </c>
      <c r="C109" s="12" t="s">
        <v>112</v>
      </c>
      <c r="D109" s="13">
        <v>115</v>
      </c>
      <c r="E109" s="14">
        <f t="shared" si="9"/>
        <v>2.2155007995068102E-3</v>
      </c>
      <c r="F109" s="15">
        <f t="shared" si="10"/>
        <v>8.1441809389870343</v>
      </c>
      <c r="G109" s="16">
        <f t="shared" si="11"/>
        <v>14.120511425462459</v>
      </c>
    </row>
    <row r="110" spans="2:7" ht="15" customHeight="1">
      <c r="B110" s="7">
        <v>103</v>
      </c>
      <c r="C110" s="8" t="s">
        <v>113</v>
      </c>
      <c r="D110" s="1">
        <v>115</v>
      </c>
      <c r="E110" s="9">
        <f t="shared" si="9"/>
        <v>2.2155007995068102E-3</v>
      </c>
      <c r="F110" s="10">
        <f t="shared" si="10"/>
        <v>8.1441809389870343</v>
      </c>
      <c r="G110" s="2">
        <f t="shared" si="11"/>
        <v>14.120511425462459</v>
      </c>
    </row>
    <row r="111" spans="2:7" ht="15" customHeight="1">
      <c r="B111" s="11">
        <v>104</v>
      </c>
      <c r="C111" s="12" t="s">
        <v>114</v>
      </c>
      <c r="D111" s="13">
        <v>110</v>
      </c>
      <c r="E111" s="14">
        <f t="shared" si="9"/>
        <v>2.1191746777891227E-3</v>
      </c>
      <c r="F111" s="15">
        <f t="shared" si="10"/>
        <v>7.7900861155528149</v>
      </c>
      <c r="G111" s="16">
        <f t="shared" si="11"/>
        <v>14.12051142546246</v>
      </c>
    </row>
    <row r="112" spans="2:7" ht="15" customHeight="1">
      <c r="B112" s="7">
        <v>105</v>
      </c>
      <c r="C112" s="8" t="s">
        <v>115</v>
      </c>
      <c r="D112" s="1">
        <v>107</v>
      </c>
      <c r="E112" s="9">
        <f t="shared" si="9"/>
        <v>2.0613790047585103E-3</v>
      </c>
      <c r="F112" s="10">
        <f t="shared" si="10"/>
        <v>7.577629221492284</v>
      </c>
      <c r="G112" s="2">
        <f t="shared" si="11"/>
        <v>14.12051142546246</v>
      </c>
    </row>
    <row r="113" spans="2:7" ht="15" customHeight="1">
      <c r="B113" s="11">
        <v>106</v>
      </c>
      <c r="C113" s="12" t="s">
        <v>116</v>
      </c>
      <c r="D113" s="13">
        <v>99</v>
      </c>
      <c r="E113" s="14">
        <f t="shared" si="9"/>
        <v>1.9072572100102105E-3</v>
      </c>
      <c r="F113" s="15">
        <f t="shared" si="10"/>
        <v>7.0110775039975337</v>
      </c>
      <c r="G113" s="16">
        <f t="shared" si="11"/>
        <v>14.12051142546246</v>
      </c>
    </row>
    <row r="114" spans="2:7" ht="15" customHeight="1">
      <c r="B114" s="7">
        <v>107</v>
      </c>
      <c r="C114" s="8" t="s">
        <v>117</v>
      </c>
      <c r="D114" s="1">
        <v>96</v>
      </c>
      <c r="E114" s="9">
        <f t="shared" si="9"/>
        <v>1.8494615369795981E-3</v>
      </c>
      <c r="F114" s="10">
        <f t="shared" si="10"/>
        <v>6.7986206099370028</v>
      </c>
      <c r="G114" s="2">
        <f t="shared" si="11"/>
        <v>14.120511425462459</v>
      </c>
    </row>
    <row r="115" spans="2:7" ht="15" customHeight="1">
      <c r="B115" s="11">
        <v>108</v>
      </c>
      <c r="C115" s="12" t="s">
        <v>118</v>
      </c>
      <c r="D115" s="13">
        <v>82</v>
      </c>
      <c r="E115" s="14">
        <f t="shared" si="9"/>
        <v>1.5797483961700735E-3</v>
      </c>
      <c r="F115" s="15">
        <f t="shared" si="10"/>
        <v>5.8071551043211898</v>
      </c>
      <c r="G115" s="16">
        <f t="shared" si="11"/>
        <v>14.120511425462459</v>
      </c>
    </row>
    <row r="116" spans="2:7" ht="15" customHeight="1">
      <c r="B116" s="7">
        <v>109</v>
      </c>
      <c r="C116" s="8" t="s">
        <v>119</v>
      </c>
      <c r="D116" s="1">
        <v>80</v>
      </c>
      <c r="E116" s="9">
        <f t="shared" si="9"/>
        <v>1.5412179474829984E-3</v>
      </c>
      <c r="F116" s="10">
        <f t="shared" si="10"/>
        <v>5.6655171749475022</v>
      </c>
      <c r="G116" s="2">
        <f t="shared" si="11"/>
        <v>14.120511425462459</v>
      </c>
    </row>
    <row r="117" spans="2:7" ht="15" customHeight="1">
      <c r="B117" s="11">
        <v>110</v>
      </c>
      <c r="C117" s="12" t="s">
        <v>120</v>
      </c>
      <c r="D117" s="13">
        <v>77</v>
      </c>
      <c r="E117" s="14">
        <f t="shared" si="9"/>
        <v>1.483422274452386E-3</v>
      </c>
      <c r="F117" s="15">
        <f t="shared" si="10"/>
        <v>5.4530602808869713</v>
      </c>
      <c r="G117" s="16">
        <f t="shared" si="11"/>
        <v>14.120511425462459</v>
      </c>
    </row>
    <row r="118" spans="2:7" ht="15" customHeight="1">
      <c r="B118" s="7">
        <v>111</v>
      </c>
      <c r="C118" s="18" t="s">
        <v>121</v>
      </c>
      <c r="D118" s="1">
        <v>71</v>
      </c>
      <c r="E118" s="9">
        <f t="shared" si="9"/>
        <v>1.367830928391161E-3</v>
      </c>
      <c r="F118" s="10">
        <f t="shared" si="10"/>
        <v>5.0281464927659076</v>
      </c>
      <c r="G118" s="2">
        <f t="shared" si="11"/>
        <v>14.12051142546246</v>
      </c>
    </row>
    <row r="119" spans="2:7" ht="15" customHeight="1">
      <c r="B119" s="11">
        <v>112</v>
      </c>
      <c r="C119" s="12" t="s">
        <v>122</v>
      </c>
      <c r="D119" s="13">
        <v>62</v>
      </c>
      <c r="E119" s="14">
        <f t="shared" si="9"/>
        <v>1.1944439092993239E-3</v>
      </c>
      <c r="F119" s="15">
        <f t="shared" si="10"/>
        <v>4.3907758105843149</v>
      </c>
      <c r="G119" s="16">
        <f t="shared" si="11"/>
        <v>14.120511425462457</v>
      </c>
    </row>
    <row r="120" spans="2:7" ht="15" customHeight="1">
      <c r="B120" s="7">
        <v>113</v>
      </c>
      <c r="C120" s="8" t="s">
        <v>123</v>
      </c>
      <c r="D120" s="1">
        <v>62</v>
      </c>
      <c r="E120" s="9">
        <f t="shared" si="9"/>
        <v>1.1944439092993239E-3</v>
      </c>
      <c r="F120" s="10">
        <f t="shared" si="10"/>
        <v>4.3907758105843149</v>
      </c>
      <c r="G120" s="2">
        <f t="shared" si="11"/>
        <v>14.120511425462457</v>
      </c>
    </row>
    <row r="121" spans="2:7" ht="15" customHeight="1">
      <c r="B121" s="11">
        <v>114</v>
      </c>
      <c r="C121" s="12" t="s">
        <v>124</v>
      </c>
      <c r="D121" s="13">
        <v>54</v>
      </c>
      <c r="E121" s="14">
        <f t="shared" si="9"/>
        <v>1.040322114551024E-3</v>
      </c>
      <c r="F121" s="15">
        <f t="shared" si="10"/>
        <v>3.8242240930895646</v>
      </c>
      <c r="G121" s="16">
        <f t="shared" si="11"/>
        <v>14.120511425462457</v>
      </c>
    </row>
    <row r="122" spans="2:7" ht="15" customHeight="1">
      <c r="B122" s="7">
        <v>115</v>
      </c>
      <c r="C122" s="8" t="s">
        <v>125</v>
      </c>
      <c r="D122" s="1">
        <v>50</v>
      </c>
      <c r="E122" s="9">
        <f t="shared" si="9"/>
        <v>9.6326121717687401E-4</v>
      </c>
      <c r="F122" s="10">
        <f t="shared" si="10"/>
        <v>3.540948234342189</v>
      </c>
      <c r="G122" s="2">
        <f t="shared" si="11"/>
        <v>14.120511425462459</v>
      </c>
    </row>
    <row r="123" spans="2:7" ht="15" customHeight="1">
      <c r="B123" s="11">
        <v>116</v>
      </c>
      <c r="C123" s="12" t="s">
        <v>126</v>
      </c>
      <c r="D123" s="13">
        <v>44</v>
      </c>
      <c r="E123" s="14">
        <f t="shared" si="9"/>
        <v>8.4766987111564913E-4</v>
      </c>
      <c r="F123" s="15">
        <f t="shared" si="10"/>
        <v>3.1160344462211262</v>
      </c>
      <c r="G123" s="16">
        <f t="shared" si="11"/>
        <v>14.120511425462459</v>
      </c>
    </row>
    <row r="124" spans="2:7" ht="15" customHeight="1">
      <c r="B124" s="7">
        <v>117</v>
      </c>
      <c r="C124" s="18" t="s">
        <v>127</v>
      </c>
      <c r="D124" s="1">
        <v>35</v>
      </c>
      <c r="E124" s="9">
        <f t="shared" si="9"/>
        <v>6.7428285202381186E-4</v>
      </c>
      <c r="F124" s="10">
        <f t="shared" si="10"/>
        <v>2.4786637640395326</v>
      </c>
      <c r="G124" s="2">
        <f t="shared" si="11"/>
        <v>14.120511425462457</v>
      </c>
    </row>
    <row r="125" spans="2:7" ht="15" customHeight="1">
      <c r="B125" s="11">
        <v>118</v>
      </c>
      <c r="C125" s="12" t="s">
        <v>128</v>
      </c>
      <c r="D125" s="13">
        <v>19</v>
      </c>
      <c r="E125" s="14">
        <f t="shared" si="9"/>
        <v>3.6603926252721212E-4</v>
      </c>
      <c r="F125" s="15">
        <f t="shared" si="10"/>
        <v>1.3455603290500318</v>
      </c>
      <c r="G125" s="16">
        <f t="shared" si="11"/>
        <v>14.12051142546246</v>
      </c>
    </row>
    <row r="126" spans="2:7" ht="25.5" customHeight="1">
      <c r="B126" s="19" t="s">
        <v>129</v>
      </c>
      <c r="C126" s="20" t="s">
        <v>130</v>
      </c>
      <c r="D126" s="21">
        <f>SUM(D8:D125)</f>
        <v>51907</v>
      </c>
      <c r="E126" s="22">
        <f>SUM(E8:E125)</f>
        <v>1.0000000000000007</v>
      </c>
      <c r="F126" s="23">
        <f>SUM(F8:F125)</f>
        <v>3675.9999999999986</v>
      </c>
      <c r="G126" s="20" t="s">
        <v>131</v>
      </c>
    </row>
  </sheetData>
  <mergeCells count="2">
    <mergeCell ref="B3:G3"/>
    <mergeCell ref="B2:G2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6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8.6640625" defaultRowHeight="14.4"/>
  <cols>
    <col min="1" max="1" width="2" customWidth="1"/>
    <col min="2" max="2" width="8" customWidth="1"/>
    <col min="3" max="3" width="36" customWidth="1"/>
    <col min="4" max="4" width="12" customWidth="1"/>
    <col min="5" max="5" width="14" customWidth="1"/>
    <col min="6" max="6" width="12" customWidth="1"/>
    <col min="7" max="7" width="16" customWidth="1"/>
    <col min="8" max="8" width="12" customWidth="1"/>
  </cols>
  <sheetData>
    <row r="2" spans="2:8" ht="31.5" customHeight="1">
      <c r="B2" s="34" t="s">
        <v>132</v>
      </c>
      <c r="C2" s="33"/>
      <c r="D2" s="33"/>
      <c r="E2" s="33"/>
      <c r="F2" s="33"/>
      <c r="G2" s="33"/>
      <c r="H2" s="33"/>
    </row>
    <row r="3" spans="2:8" ht="19.5" customHeight="1">
      <c r="B3" s="32" t="s">
        <v>133</v>
      </c>
      <c r="C3" s="33"/>
      <c r="D3" s="33"/>
      <c r="E3" s="33"/>
      <c r="F3" s="33"/>
      <c r="G3" s="33"/>
      <c r="H3" s="33"/>
    </row>
    <row r="5" spans="2:8" ht="24" customHeight="1">
      <c r="B5" s="3" t="s">
        <v>2</v>
      </c>
      <c r="C5" s="4">
        <v>11037</v>
      </c>
      <c r="D5" s="3" t="s">
        <v>3</v>
      </c>
      <c r="E5" s="4">
        <v>886</v>
      </c>
      <c r="F5" s="3" t="s">
        <v>4</v>
      </c>
      <c r="G5" s="5">
        <v>12.4571106094808</v>
      </c>
    </row>
    <row r="7" spans="2:8" ht="27.75" customHeight="1">
      <c r="B7" s="6" t="s">
        <v>5</v>
      </c>
      <c r="C7" s="6" t="s">
        <v>6</v>
      </c>
      <c r="D7" s="6" t="s">
        <v>134</v>
      </c>
      <c r="E7" s="6" t="s">
        <v>7</v>
      </c>
      <c r="F7" s="6" t="s">
        <v>8</v>
      </c>
      <c r="G7" s="6" t="s">
        <v>9</v>
      </c>
      <c r="H7" s="6" t="s">
        <v>10</v>
      </c>
    </row>
    <row r="8" spans="2:8" ht="15" customHeight="1">
      <c r="B8" s="7">
        <v>1</v>
      </c>
      <c r="C8" s="8" t="s">
        <v>12</v>
      </c>
      <c r="D8" s="24" t="s">
        <v>135</v>
      </c>
      <c r="E8" s="1">
        <v>3377</v>
      </c>
      <c r="F8" s="9">
        <f t="shared" ref="F8:F15" si="0">E8/$C$5</f>
        <v>0.30597082540545439</v>
      </c>
      <c r="G8" s="10">
        <f t="shared" ref="G8:G15" si="1">E8/$C$5*$E$5</f>
        <v>271.09015130923257</v>
      </c>
      <c r="H8" s="2">
        <f t="shared" ref="H8:H15" si="2">E8/G8</f>
        <v>12.457110609480813</v>
      </c>
    </row>
    <row r="9" spans="2:8" ht="15" customHeight="1">
      <c r="B9" s="11">
        <v>2</v>
      </c>
      <c r="C9" s="17" t="s">
        <v>136</v>
      </c>
      <c r="D9" s="25" t="s">
        <v>137</v>
      </c>
      <c r="E9" s="13">
        <v>1649</v>
      </c>
      <c r="F9" s="14">
        <f t="shared" si="0"/>
        <v>0.14940654163269004</v>
      </c>
      <c r="G9" s="15">
        <f t="shared" si="1"/>
        <v>132.37419588656337</v>
      </c>
      <c r="H9" s="16">
        <f t="shared" si="2"/>
        <v>12.457110609480813</v>
      </c>
    </row>
    <row r="10" spans="2:8" ht="15" customHeight="1">
      <c r="B10" s="7">
        <v>3</v>
      </c>
      <c r="C10" s="8" t="s">
        <v>70</v>
      </c>
      <c r="D10" s="24" t="s">
        <v>138</v>
      </c>
      <c r="E10" s="1">
        <v>1624</v>
      </c>
      <c r="F10" s="9">
        <f t="shared" si="0"/>
        <v>0.14714143336051463</v>
      </c>
      <c r="G10" s="10">
        <f t="shared" si="1"/>
        <v>130.36730995741596</v>
      </c>
      <c r="H10" s="2">
        <f t="shared" si="2"/>
        <v>12.457110609480814</v>
      </c>
    </row>
    <row r="11" spans="2:8" ht="15" customHeight="1">
      <c r="B11" s="11">
        <v>4</v>
      </c>
      <c r="C11" s="12" t="s">
        <v>46</v>
      </c>
      <c r="D11" s="25" t="s">
        <v>139</v>
      </c>
      <c r="E11" s="13">
        <v>1331</v>
      </c>
      <c r="F11" s="14">
        <f t="shared" si="0"/>
        <v>0.12059436441061883</v>
      </c>
      <c r="G11" s="15">
        <f t="shared" si="1"/>
        <v>106.84660686780828</v>
      </c>
      <c r="H11" s="16">
        <f t="shared" si="2"/>
        <v>12.457110609480813</v>
      </c>
    </row>
    <row r="12" spans="2:8" ht="15" customHeight="1">
      <c r="B12" s="7">
        <v>5</v>
      </c>
      <c r="C12" s="8" t="s">
        <v>73</v>
      </c>
      <c r="D12" s="24" t="s">
        <v>140</v>
      </c>
      <c r="E12" s="1">
        <v>989</v>
      </c>
      <c r="F12" s="9">
        <f t="shared" si="0"/>
        <v>8.9607683247259221E-2</v>
      </c>
      <c r="G12" s="10">
        <f t="shared" si="1"/>
        <v>79.392407357071676</v>
      </c>
      <c r="H12" s="2">
        <f t="shared" si="2"/>
        <v>12.457110609480811</v>
      </c>
    </row>
    <row r="13" spans="2:8" ht="15" customHeight="1">
      <c r="B13" s="11">
        <v>6</v>
      </c>
      <c r="C13" s="12" t="s">
        <v>63</v>
      </c>
      <c r="D13" s="25" t="s">
        <v>141</v>
      </c>
      <c r="E13" s="13">
        <v>860</v>
      </c>
      <c r="F13" s="14">
        <f t="shared" si="0"/>
        <v>7.7919724562834108E-2</v>
      </c>
      <c r="G13" s="15">
        <f t="shared" si="1"/>
        <v>69.036875962671019</v>
      </c>
      <c r="H13" s="16">
        <f t="shared" si="2"/>
        <v>12.457110609480813</v>
      </c>
    </row>
    <row r="14" spans="2:8" ht="15" customHeight="1">
      <c r="B14" s="7">
        <v>7</v>
      </c>
      <c r="C14" s="8" t="s">
        <v>36</v>
      </c>
      <c r="D14" s="24" t="s">
        <v>142</v>
      </c>
      <c r="E14" s="1">
        <v>633</v>
      </c>
      <c r="F14" s="9">
        <f t="shared" si="0"/>
        <v>5.735254145148138E-2</v>
      </c>
      <c r="G14" s="10">
        <f t="shared" si="1"/>
        <v>50.814351726012504</v>
      </c>
      <c r="H14" s="2">
        <f t="shared" si="2"/>
        <v>12.457110609480813</v>
      </c>
    </row>
    <row r="15" spans="2:8" ht="15" customHeight="1">
      <c r="B15" s="11">
        <v>8</v>
      </c>
      <c r="C15" s="12" t="s">
        <v>106</v>
      </c>
      <c r="D15" s="25" t="s">
        <v>143</v>
      </c>
      <c r="E15" s="13">
        <v>574</v>
      </c>
      <c r="F15" s="14">
        <f t="shared" si="0"/>
        <v>5.2006885929147414E-2</v>
      </c>
      <c r="G15" s="15">
        <f t="shared" si="1"/>
        <v>46.078100933224611</v>
      </c>
      <c r="H15" s="16">
        <f t="shared" si="2"/>
        <v>12.457110609480813</v>
      </c>
    </row>
    <row r="16" spans="2:8" ht="25.5" customHeight="1">
      <c r="B16" s="19" t="s">
        <v>129</v>
      </c>
      <c r="C16" s="20" t="s">
        <v>144</v>
      </c>
      <c r="D16" s="19" t="s">
        <v>145</v>
      </c>
      <c r="E16" s="21">
        <f>SUM(E8:E15)</f>
        <v>11037</v>
      </c>
      <c r="F16" s="22">
        <f>SUM(F8:F15)</f>
        <v>1</v>
      </c>
      <c r="G16" s="23">
        <f>SUM(G8:G15)</f>
        <v>886</v>
      </c>
      <c r="H16" s="20" t="s">
        <v>131</v>
      </c>
    </row>
  </sheetData>
  <mergeCells count="2">
    <mergeCell ref="B3:H3"/>
    <mergeCell ref="B2:H2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일반·기술</vt:lpstr>
      <vt:lpstr>로컬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혁수 권</cp:lastModifiedBy>
  <cp:revision>0</cp:revision>
  <dcterms:created xsi:type="dcterms:W3CDTF">2026-05-15T22:56:17Z</dcterms:created>
  <dcterms:modified xsi:type="dcterms:W3CDTF">2026-05-21T08:56:06Z</dcterms:modified>
  <dc:language>en-US</dc:language>
</cp:coreProperties>
</file>