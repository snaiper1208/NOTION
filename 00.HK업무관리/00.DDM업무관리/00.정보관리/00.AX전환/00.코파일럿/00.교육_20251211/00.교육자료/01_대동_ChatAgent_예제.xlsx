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ctek01-my.sharepoint.com/personal/hank_choi_spintech_co_kr/Documents/바탕 화면/업무 1순위 대동 에이전트 교육준비/"/>
    </mc:Choice>
  </mc:AlternateContent>
  <xr:revisionPtr revIDLastSave="1" documentId="13_ncr:1_{621B0F3F-C2FD-4062-9F93-0C2A8F6B8D72}" xr6:coauthVersionLast="47" xr6:coauthVersionMax="47" xr10:uidLastSave="{240DA293-51EA-42DC-AAA4-CD985194C821}"/>
  <bookViews>
    <workbookView xWindow="2280" yWindow="2280" windowWidth="14400" windowHeight="8170" xr2:uid="{6468418A-433C-4A0B-B959-824DB379AF0C}"/>
  </bookViews>
  <sheets>
    <sheet name="의견수렴)지출 자금 승인 규정" sheetId="46" r:id="rId1"/>
  </sheets>
  <definedNames>
    <definedName name="_xlnm._FilterDatabase" localSheetId="0" hidden="1">'의견수렴)지출 자금 승인 규정'!$B$31:$AN$150</definedName>
    <definedName name="_xlnm.Print_Area" localSheetId="0">'의견수렴)지출 자금 승인 규정'!$A$1:$AN$150</definedName>
    <definedName name="_xlnm.Print_Titles" localSheetId="0">'의견수렴)지출 자금 승인 규정'!$25:$30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9" i="46" l="1"/>
  <c r="O148" i="46"/>
  <c r="O147" i="46"/>
  <c r="O146" i="46"/>
  <c r="O145" i="46"/>
  <c r="O144" i="46"/>
  <c r="O143" i="46"/>
  <c r="O142" i="46"/>
  <c r="K142" i="46"/>
  <c r="O139" i="46"/>
  <c r="O138" i="46"/>
  <c r="O136" i="46"/>
  <c r="O135" i="46"/>
  <c r="O133" i="46"/>
  <c r="O132" i="46"/>
  <c r="O131" i="46"/>
  <c r="K131" i="46"/>
  <c r="O125" i="46"/>
  <c r="O118" i="46"/>
  <c r="K118" i="46"/>
  <c r="S117" i="46"/>
  <c r="S116" i="46"/>
  <c r="S115" i="46"/>
  <c r="S114" i="46"/>
  <c r="S113" i="46"/>
  <c r="S110" i="46"/>
  <c r="S109" i="46"/>
  <c r="S108" i="46"/>
  <c r="S107" i="46"/>
  <c r="S106" i="46"/>
  <c r="O104" i="46"/>
  <c r="O99" i="46"/>
  <c r="O96" i="46"/>
  <c r="O92" i="46"/>
  <c r="K92" i="46"/>
  <c r="O91" i="46"/>
  <c r="O90" i="46"/>
  <c r="O89" i="46"/>
  <c r="K89" i="46"/>
  <c r="G89" i="46"/>
  <c r="O88" i="46"/>
  <c r="K88" i="46"/>
  <c r="O86" i="46"/>
  <c r="K86" i="46"/>
  <c r="O85" i="46"/>
  <c r="O84" i="46"/>
  <c r="O83" i="46"/>
  <c r="K83" i="46"/>
  <c r="O82" i="46"/>
  <c r="K82" i="46"/>
  <c r="O81" i="46"/>
  <c r="K81" i="46"/>
  <c r="O80" i="46"/>
  <c r="K80" i="46"/>
  <c r="O79" i="46"/>
  <c r="K79" i="46"/>
  <c r="G79" i="46"/>
  <c r="O78" i="46"/>
  <c r="K78" i="46"/>
  <c r="O74" i="46"/>
  <c r="O71" i="46"/>
  <c r="K71" i="46"/>
  <c r="O70" i="46"/>
  <c r="O69" i="46"/>
  <c r="O68" i="46"/>
  <c r="K68" i="46"/>
  <c r="O67" i="46"/>
  <c r="K67" i="46"/>
  <c r="O66" i="46"/>
  <c r="K66" i="46"/>
  <c r="O65" i="46"/>
  <c r="O64" i="46"/>
  <c r="O63" i="46"/>
  <c r="O62" i="46"/>
  <c r="K62" i="46"/>
  <c r="O61" i="46"/>
  <c r="O60" i="46"/>
  <c r="O59" i="46"/>
  <c r="O58" i="46"/>
  <c r="O57" i="46"/>
  <c r="K57" i="46"/>
  <c r="G57" i="46"/>
  <c r="O56" i="46"/>
  <c r="G31" i="46"/>
</calcChain>
</file>

<file path=xl/sharedStrings.xml><?xml version="1.0" encoding="utf-8"?>
<sst xmlns="http://schemas.openxmlformats.org/spreadsheetml/2006/main" count="533" uniqueCount="300">
  <si>
    <t>■ 지출/자금 승인 규정</t>
    <phoneticPr fontId="2" type="noConversion"/>
  </si>
  <si>
    <t>□ 전결 기준 관련 사항</t>
  </si>
  <si>
    <t xml:space="preserve"> - 본 승인 규정은 업무 승인 규정에 따라 승인을 득한 후 대금의 집행과 비용 지급 시의 승인 대상을 규정하고 있으며, 업무 승인 대상에 포함되지 않는 경우 지출/자금 승인 규정을 직접 적용</t>
    <phoneticPr fontId="2" type="noConversion"/>
  </si>
  <si>
    <t xml:space="preserve"> - 업무 승인 규정과 지출/자금 승인 규정이 중복되는 사항은 상위자 전결 진행</t>
  </si>
  <si>
    <t xml:space="preserve"> - 본인 전결 불가하며 최소한 차상위자 전결 진행</t>
  </si>
  <si>
    <t xml:space="preserve"> - 기본품의 간 합의 완료된 사항은 시행품의 간 합의 제외 가능 (세부 내용 변경 없을 시)</t>
  </si>
  <si>
    <t>□ 전결 라인 관련 사항</t>
  </si>
  <si>
    <t xml:space="preserve"> - 경영진(회장, 부회장/CSO) 품의 기안은 최소 팀장부터 작성</t>
  </si>
  <si>
    <t xml:space="preserve"> - 결재 라인 및 합의는 직책(대행 직책 기준 포함) 기준으로 진행</t>
    <phoneticPr fontId="2" type="noConversion"/>
  </si>
  <si>
    <t xml:space="preserve"> - 조직계통 상 전결권자 부재 시 차상위자가 전결 진행(예시 : 본부장 부재 → 부문장 전결 / 부문장 부재 → 부회장/CSO 전결)</t>
    <phoneticPr fontId="2" type="noConversion"/>
  </si>
  <si>
    <t xml:space="preserve"> - 부회장/CSO 직속부서 전결권/합의권 조정</t>
  </si>
  <si>
    <t xml:space="preserve">    ① 현장경영실 : 본부장(전결권 : 부문장까지 적용)</t>
    <phoneticPr fontId="2" type="noConversion"/>
  </si>
  <si>
    <t xml:space="preserve">    ② 중대재해관리팀 : CSO(고유업무 전결권) / 경영기획본부장(출장, 근태 등 일상업무 전결권)</t>
    <phoneticPr fontId="2" type="noConversion"/>
  </si>
  <si>
    <t xml:space="preserve"> - 주요조건 변경은 기본품의와 동일 결재라인 재품의가 원칙이며, 경미한 조건 변경은 기본품의 결재라인의 차하위자 재품의(주요조건 : 금액, 기간 등)</t>
  </si>
  <si>
    <t xml:space="preserve"> - 기본/시행품의 동시 진행 시 기본품의 전결라인 적용(동시 진행 가능 대상 : 품의의 대상, 조건, 기간, 비용 등이 확정되었으며 변경 없어야 함)</t>
    <phoneticPr fontId="2" type="noConversion"/>
  </si>
  <si>
    <t>□ 지출/자금 및 기타 관련 사항</t>
  </si>
  <si>
    <t xml:space="preserve"> - 품의 작성 시 일반/투자예산 혼재해 있을 경우, 해당 예산을 합산한 총예산 기준의 투자예산 전결권 적용</t>
  </si>
  <si>
    <t xml:space="preserve"> - 시행품의 전결은 기본품의 전결권자의 차하위자로 진행(예외 : 1개의 기본품의로 수개의 시행품의가 나누어 진행될 경우 각 해당 시행품의 금액의 전결권을 따름)</t>
    <phoneticPr fontId="2" type="noConversion"/>
  </si>
  <si>
    <t xml:space="preserve"> - 대금 지급 시 당사 정기지불일(익월 20일) 어음 지급 외 예외사항 발생 시 재무회계본부 합의 필요(금액별 규정 참고, 세금과공과는 합의 불요)</t>
    <phoneticPr fontId="2" type="noConversion"/>
  </si>
  <si>
    <r>
      <t xml:space="preserve"> - 전사 예산/손익관리 목적의 수시 예산조정은 해당 시점의 </t>
    </r>
    <r>
      <rPr>
        <sz val="11"/>
        <color rgb="FF0000FF"/>
        <rFont val="맑은 고딕"/>
        <family val="3"/>
        <charset val="129"/>
        <scheme val="minor"/>
      </rPr>
      <t>원가관리팀</t>
    </r>
    <r>
      <rPr>
        <sz val="11"/>
        <rFont val="맑은 고딕"/>
        <family val="3"/>
        <charset val="129"/>
        <scheme val="minor"/>
      </rPr>
      <t xml:space="preserve"> 방침을 준용</t>
    </r>
    <phoneticPr fontId="2" type="noConversion"/>
  </si>
  <si>
    <t xml:space="preserve"> - 유/무형 자산 또는 비용 구분에 대한 회계팀 사전검토 진행</t>
  </si>
  <si>
    <r>
      <t xml:space="preserve"> - 기본/시행품의 등 전결규정 준수하여 품의 완료된 사항은 </t>
    </r>
    <r>
      <rPr>
        <sz val="11"/>
        <color rgb="FF0000FF"/>
        <rFont val="맑은 고딕"/>
        <family val="3"/>
        <charset val="129"/>
        <scheme val="minor"/>
      </rPr>
      <t>원가관리팀</t>
    </r>
    <r>
      <rPr>
        <sz val="11"/>
        <rFont val="맑은 고딕"/>
        <family val="3"/>
        <charset val="129"/>
        <scheme val="minor"/>
      </rPr>
      <t xml:space="preserve"> 예산담당 승인 (시스템 중복결재 지양)</t>
    </r>
    <phoneticPr fontId="2" type="noConversion"/>
  </si>
  <si>
    <t>전결</t>
    <phoneticPr fontId="2" type="noConversion"/>
  </si>
  <si>
    <t>합의/참조</t>
    <phoneticPr fontId="2" type="noConversion"/>
  </si>
  <si>
    <t>분류 Code</t>
    <phoneticPr fontId="2" type="noConversion"/>
  </si>
  <si>
    <t>구분</t>
    <phoneticPr fontId="2" type="noConversion"/>
  </si>
  <si>
    <t xml:space="preserve">LevelⅠ계정분류 </t>
    <phoneticPr fontId="2" type="noConversion"/>
  </si>
  <si>
    <r>
      <t>Level</t>
    </r>
    <r>
      <rPr>
        <b/>
        <sz val="11"/>
        <color theme="1"/>
        <rFont val="맑은 고딕"/>
        <family val="3"/>
        <charset val="129"/>
      </rPr>
      <t>Ⅱ 업무항목</t>
    </r>
    <phoneticPr fontId="2" type="noConversion"/>
  </si>
  <si>
    <t>업무내용</t>
    <phoneticPr fontId="2" type="noConversion"/>
  </si>
  <si>
    <t>팀장</t>
    <phoneticPr fontId="2" type="noConversion"/>
  </si>
  <si>
    <t>본부장</t>
    <phoneticPr fontId="2" type="noConversion"/>
  </si>
  <si>
    <t>부문장</t>
    <phoneticPr fontId="2" type="noConversion"/>
  </si>
  <si>
    <t>부회장/CSO</t>
  </si>
  <si>
    <t>회장</t>
    <phoneticPr fontId="2" type="noConversion"/>
  </si>
  <si>
    <t>원가관리팀장</t>
    <phoneticPr fontId="2" type="noConversion"/>
  </si>
  <si>
    <t>경영기획본부장</t>
    <phoneticPr fontId="2" type="noConversion"/>
  </si>
  <si>
    <t>그룹경영실장</t>
    <phoneticPr fontId="2" type="noConversion"/>
  </si>
  <si>
    <t>추가 결재 Line</t>
    <phoneticPr fontId="2" type="noConversion"/>
  </si>
  <si>
    <t>비고</t>
    <phoneticPr fontId="2" type="noConversion"/>
  </si>
  <si>
    <t>비용-A-01-01</t>
  </si>
  <si>
    <t>비용</t>
    <phoneticPr fontId="2" type="noConversion"/>
  </si>
  <si>
    <t>A</t>
    <phoneticPr fontId="2" type="noConversion"/>
  </si>
  <si>
    <t>예산의 운영</t>
    <phoneticPr fontId="2" type="noConversion"/>
  </si>
  <si>
    <t>01</t>
    <phoneticPr fontId="2" type="noConversion"/>
  </si>
  <si>
    <t>.</t>
  </si>
  <si>
    <t>예산 관리</t>
    <phoneticPr fontId="2" type="noConversion"/>
  </si>
  <si>
    <t>01</t>
  </si>
  <si>
    <t>기본 예산 편성 지침 및 예산 확정</t>
  </si>
  <si>
    <t>비용-A-01-01-1)</t>
  </si>
  <si>
    <t>1)</t>
    <phoneticPr fontId="2" type="noConversion"/>
  </si>
  <si>
    <t>기본 예산 편성 지침 및 예산 확정</t>
    <phoneticPr fontId="2" type="noConversion"/>
  </si>
  <si>
    <t>비용-A-01-02</t>
  </si>
  <si>
    <t>02</t>
    <phoneticPr fontId="2" type="noConversion"/>
  </si>
  <si>
    <t>예산의 결산</t>
    <phoneticPr fontId="2" type="noConversion"/>
  </si>
  <si>
    <t>비용-A-01-02-1)</t>
  </si>
  <si>
    <t>1)</t>
  </si>
  <si>
    <t>월 단위 예산 실적 보고(본부 단위로 부문장 보고)</t>
    <phoneticPr fontId="2" type="noConversion"/>
  </si>
  <si>
    <t>비용-A-01-02-2)</t>
  </si>
  <si>
    <t>2)</t>
    <phoneticPr fontId="2" type="noConversion"/>
  </si>
  <si>
    <t>월 단위 예산 전망(본부 단위로 본부장 보고)</t>
    <phoneticPr fontId="2" type="noConversion"/>
  </si>
  <si>
    <t>비용-A-01-03</t>
  </si>
  <si>
    <t>03</t>
    <phoneticPr fontId="2" type="noConversion"/>
  </si>
  <si>
    <t>예산 조정</t>
  </si>
  <si>
    <t>비용-A-01-03-1)</t>
  </si>
  <si>
    <t>이월/조상</t>
    <phoneticPr fontId="2" type="noConversion"/>
  </si>
  <si>
    <t>비용-A-01-03-2)</t>
  </si>
  <si>
    <t>전용</t>
    <phoneticPr fontId="2" type="noConversion"/>
  </si>
  <si>
    <t>가.</t>
    <phoneticPr fontId="2" type="noConversion"/>
  </si>
  <si>
    <t>3백만원 이하(일반)</t>
    <phoneticPr fontId="2" type="noConversion"/>
  </si>
  <si>
    <t>동일 본부 내 팀 ↔ 팀 전용 시 관련 팀장 합의
본부 ↔ 본부 전용 시 관련 본부장 합의</t>
    <phoneticPr fontId="2" type="noConversion"/>
  </si>
  <si>
    <t>나</t>
    <phoneticPr fontId="2" type="noConversion"/>
  </si>
  <si>
    <t>1천만원 이하(일반/투자)</t>
    <phoneticPr fontId="2" type="noConversion"/>
  </si>
  <si>
    <t>다</t>
    <phoneticPr fontId="2" type="noConversion"/>
  </si>
  <si>
    <t>5천만원 이하(일반/투자)</t>
    <phoneticPr fontId="2" type="noConversion"/>
  </si>
  <si>
    <t>라</t>
    <phoneticPr fontId="2" type="noConversion"/>
  </si>
  <si>
    <t>3억원 이하(일반/투자)</t>
    <phoneticPr fontId="2" type="noConversion"/>
  </si>
  <si>
    <t>마</t>
    <phoneticPr fontId="2" type="noConversion"/>
  </si>
  <si>
    <t>3억원 초과(일반/투자)</t>
    <phoneticPr fontId="2" type="noConversion"/>
  </si>
  <si>
    <t>중대재해 관련 항목은 CSO 전결</t>
    <phoneticPr fontId="2" type="noConversion"/>
  </si>
  <si>
    <t>바</t>
    <phoneticPr fontId="2" type="noConversion"/>
  </si>
  <si>
    <t>조직개편/R&amp;R 조정에 따른 예산 전용</t>
    <phoneticPr fontId="2" type="noConversion"/>
  </si>
  <si>
    <t>관련 부서 팀장, 본부장 합의/관련 부서 부문장 참조</t>
    <phoneticPr fontId="2" type="noConversion"/>
  </si>
  <si>
    <t>※</t>
  </si>
  <si>
    <t>상호 협의로 인한 Co-Work 업무 추진 시 부문 간 전용 가능</t>
    <phoneticPr fontId="2" type="noConversion"/>
  </si>
  <si>
    <t>일반예산 ↔ 투자예산 전용 불가</t>
    <phoneticPr fontId="2" type="noConversion"/>
  </si>
  <si>
    <t>일부 손익개선 항목은 비용에서 환입하여 투자예산으로 집행 검토 가능</t>
    <phoneticPr fontId="2" type="noConversion"/>
  </si>
  <si>
    <t>비용-A-01-03-3)</t>
    <phoneticPr fontId="2" type="noConversion"/>
  </si>
  <si>
    <t>3)</t>
    <phoneticPr fontId="2" type="noConversion"/>
  </si>
  <si>
    <t>추경</t>
  </si>
  <si>
    <t>비용-A-01-03-3)</t>
  </si>
  <si>
    <t>1백만원 이하(일반)</t>
    <phoneticPr fontId="2" type="noConversion"/>
  </si>
  <si>
    <t>※</t>
    <phoneticPr fontId="2" type="noConversion"/>
  </si>
  <si>
    <t>.</t>
    <phoneticPr fontId="2" type="noConversion"/>
  </si>
  <si>
    <t>일반예산/투자예산 혼재된 추경 시 해당 예산을 합산한 총예산 기준의 투자예산 전결금액 적용</t>
    <phoneticPr fontId="2" type="noConversion"/>
  </si>
  <si>
    <t>추경 시 결재라인 하향 목적으로 동일 건을 각 기본품의, 추가품의로 나누어 작성하는 것 불가하며, 하나의 품의로 진행</t>
    <phoneticPr fontId="2" type="noConversion"/>
  </si>
  <si>
    <t>인사발령에 따른 인원연동비용 추경(사업계획 예산편성 기준에 따른 계정으로 국내출장비, 시내교통비, 식비, 회의비, 소모품비, 자차지원금, 임원접대비, 본부장활동비 등) 건은 "팀장 전결 추경" 준용</t>
    <phoneticPr fontId="2" type="noConversion"/>
  </si>
  <si>
    <t>비용-A-01-※</t>
  </si>
  <si>
    <t>투자/자산/비용 등의 집행은 하기 계정 분류 항목 참조</t>
    <phoneticPr fontId="2" type="noConversion"/>
  </si>
  <si>
    <t>비용-B-01-01</t>
  </si>
  <si>
    <t>B</t>
    <phoneticPr fontId="2" type="noConversion"/>
  </si>
  <si>
    <t>자산</t>
    <phoneticPr fontId="2" type="noConversion"/>
  </si>
  <si>
    <t>유형/무형자산의 취득 기본품의</t>
    <phoneticPr fontId="2" type="noConversion"/>
  </si>
  <si>
    <t>1천만원 이하</t>
    <phoneticPr fontId="2" type="noConversion"/>
  </si>
  <si>
    <t>회계팀 합의(+IT 유무형자산 취득 시 DT전략팀 합의)</t>
  </si>
  <si>
    <t>비용-B-01-02</t>
  </si>
  <si>
    <t>5천만원 이하</t>
    <phoneticPr fontId="2" type="noConversion"/>
  </si>
  <si>
    <t>비용-B-01-03</t>
  </si>
  <si>
    <t>3억원 이하</t>
    <phoneticPr fontId="2" type="noConversion"/>
  </si>
  <si>
    <t>재무회계본부장 합의, 회계팀 참조(+IT 유무형자산 취득 시 DT전략팀 합의)</t>
  </si>
  <si>
    <t>비용-B-01-04</t>
  </si>
  <si>
    <t>04</t>
    <phoneticPr fontId="2" type="noConversion"/>
  </si>
  <si>
    <t>3억원 초과</t>
    <phoneticPr fontId="2" type="noConversion"/>
  </si>
  <si>
    <t>비용-B-01-※</t>
  </si>
  <si>
    <t>정기적 발생 건은 연간 기본품의 획득 → 업무 진행 시 팀장 전결로 시행품의 진행 (전산장비 구매 등)</t>
    <phoneticPr fontId="2" type="noConversion"/>
  </si>
  <si>
    <t>비용-B-02-01</t>
  </si>
  <si>
    <t>유형/무형자산의 취득 시행품의</t>
    <phoneticPr fontId="2" type="noConversion"/>
  </si>
  <si>
    <t>비용-B-02-02</t>
  </si>
  <si>
    <t>비용-B-02-03</t>
  </si>
  <si>
    <t>비용-B-02-04</t>
  </si>
  <si>
    <t>비용-B-03-01</t>
  </si>
  <si>
    <t>개발/개선 금형치구 시행품의</t>
    <phoneticPr fontId="2" type="noConversion"/>
  </si>
  <si>
    <t>기본예산 內</t>
    <phoneticPr fontId="2" type="noConversion"/>
  </si>
  <si>
    <t>양산 전 개발/개선 건으로 품의(개발사업계획서 등) 획득 후 진행</t>
    <phoneticPr fontId="2" type="noConversion"/>
  </si>
  <si>
    <t>비용-B-04-01</t>
  </si>
  <si>
    <t>개정채용 시행품의</t>
    <phoneticPr fontId="2" type="noConversion"/>
  </si>
  <si>
    <t>양산 후 개정채용 건으로 개정채용심의회 승인 후 진행</t>
    <phoneticPr fontId="2" type="noConversion"/>
  </si>
  <si>
    <t>비용-B-05-01</t>
  </si>
  <si>
    <t>05</t>
    <phoneticPr fontId="2" type="noConversion"/>
  </si>
  <si>
    <t>자산의 처분(장부가액 기준)</t>
    <phoneticPr fontId="2" type="noConversion"/>
  </si>
  <si>
    <t>회계팀 합의</t>
    <phoneticPr fontId="2" type="noConversion"/>
  </si>
  <si>
    <t>비용-B-05-02</t>
  </si>
  <si>
    <t>회계팀 합의, 재무회계본부장 참조</t>
  </si>
  <si>
    <t>비용-B-05-03</t>
  </si>
  <si>
    <t>5천만원 초과</t>
    <phoneticPr fontId="2" type="noConversion"/>
  </si>
  <si>
    <t>재무회계본부장 합의, 회계팀 참조</t>
  </si>
  <si>
    <t>비용-B-06-01</t>
  </si>
  <si>
    <t>06</t>
    <phoneticPr fontId="2" type="noConversion"/>
  </si>
  <si>
    <t>기타</t>
    <phoneticPr fontId="2" type="noConversion"/>
  </si>
  <si>
    <t>보증금 등의 지급 (환급 가능한 등록비 등 포함)</t>
    <phoneticPr fontId="2" type="noConversion"/>
  </si>
  <si>
    <t>비용-B-06-01-1)</t>
  </si>
  <si>
    <t>재무회계본부장 합의</t>
  </si>
  <si>
    <t>비용-B-06-01-2)</t>
  </si>
  <si>
    <t>비용-B-06-02</t>
  </si>
  <si>
    <t>대여금의 지급</t>
    <phoneticPr fontId="2" type="noConversion"/>
  </si>
  <si>
    <t>비용-B-06-02-1)</t>
  </si>
  <si>
    <t>그룹사 대여금 지급</t>
    <phoneticPr fontId="2" type="noConversion"/>
  </si>
  <si>
    <t>재무회계본부장/Risk관리팀 합의, 자금팀 참조</t>
  </si>
  <si>
    <t>비용-B-06-02-2)</t>
  </si>
  <si>
    <t>협력사 및 딜러 등 거래처 대여금 지급</t>
    <phoneticPr fontId="2" type="noConversion"/>
  </si>
  <si>
    <t>재무회계본부장 합의, 자금팀 참조</t>
  </si>
  <si>
    <t>비용-B-06-02-3)</t>
  </si>
  <si>
    <t>주택자금 대여금 지급</t>
    <phoneticPr fontId="2" type="noConversion"/>
  </si>
  <si>
    <t>자금팀 합의, 재무회계본부장 참조</t>
  </si>
  <si>
    <t>단체협약에 따른 품의 근거('20년 12월 노사협력팀)</t>
    <phoneticPr fontId="2" type="noConversion"/>
  </si>
  <si>
    <t>비용-B-06-03</t>
  </si>
  <si>
    <t>회원권 구입 및 처분</t>
    <phoneticPr fontId="2" type="noConversion"/>
  </si>
  <si>
    <t>비용-C-01-01</t>
  </si>
  <si>
    <t>C</t>
    <phoneticPr fontId="2" type="noConversion"/>
  </si>
  <si>
    <t>인건비</t>
    <phoneticPr fontId="2" type="noConversion"/>
  </si>
  <si>
    <t>급여, 상여 (임시직 포함)</t>
    <phoneticPr fontId="2" type="noConversion"/>
  </si>
  <si>
    <t>월 급여의 지급</t>
    <phoneticPr fontId="2" type="noConversion"/>
  </si>
  <si>
    <t>인사팀/회계팀 참조</t>
    <phoneticPr fontId="2" type="noConversion"/>
  </si>
  <si>
    <t>비용-C-01-02</t>
  </si>
  <si>
    <t>(원천세 내역 포함)</t>
    <phoneticPr fontId="2" type="noConversion"/>
  </si>
  <si>
    <t>정기 상여의 지급</t>
    <phoneticPr fontId="2" type="noConversion"/>
  </si>
  <si>
    <t>휴가비, 명절여비, 학자금 등 제도화된 사항 포함</t>
    <phoneticPr fontId="2" type="noConversion"/>
  </si>
  <si>
    <t>비용-C-01-03</t>
  </si>
  <si>
    <t>특별 지급금의 지급</t>
    <phoneticPr fontId="2" type="noConversion"/>
  </si>
  <si>
    <t>비용-C-02-01</t>
  </si>
  <si>
    <t>연월차</t>
    <phoneticPr fontId="2" type="noConversion"/>
  </si>
  <si>
    <t>연월차 수당의 연 정산</t>
    <phoneticPr fontId="2" type="noConversion"/>
  </si>
  <si>
    <t>비용-C-03-01</t>
  </si>
  <si>
    <t>퇴직급</t>
    <phoneticPr fontId="2" type="noConversion"/>
  </si>
  <si>
    <t>임원 퇴직위로금 지급</t>
    <phoneticPr fontId="2" type="noConversion"/>
  </si>
  <si>
    <t>비용-C-03-02</t>
  </si>
  <si>
    <t>정년 퇴직위로금 지급</t>
    <phoneticPr fontId="2" type="noConversion"/>
  </si>
  <si>
    <t>비용-C-03-03</t>
  </si>
  <si>
    <t>법정 퇴직금 지급</t>
    <phoneticPr fontId="2" type="noConversion"/>
  </si>
  <si>
    <t>비용-C-04-01</t>
  </si>
  <si>
    <t>제수당</t>
    <phoneticPr fontId="2" type="noConversion"/>
  </si>
  <si>
    <t>규정 내 수당의 지급</t>
    <phoneticPr fontId="2" type="noConversion"/>
  </si>
  <si>
    <t>비용-C-04-02</t>
  </si>
  <si>
    <t>규정 외 수당의 지급</t>
  </si>
  <si>
    <t>재무회계본부장 합의, 인사팀/회계팀 참조</t>
  </si>
  <si>
    <t>비용-C-05-01</t>
  </si>
  <si>
    <t>잡급</t>
    <phoneticPr fontId="2" type="noConversion"/>
  </si>
  <si>
    <t>일용직, 아르바이트 급여, 잡급의 지급</t>
    <phoneticPr fontId="2" type="noConversion"/>
  </si>
  <si>
    <t>비용-D-01-01</t>
  </si>
  <si>
    <t>D</t>
    <phoneticPr fontId="2" type="noConversion"/>
  </si>
  <si>
    <t>경비</t>
    <phoneticPr fontId="2" type="noConversion"/>
  </si>
  <si>
    <t>판매장려금 및 매출 할인</t>
    <phoneticPr fontId="2" type="noConversion"/>
  </si>
  <si>
    <t>판매장려금, 매출 할인의 집행(월 별 집행 계획 및 전망 사전 보고)</t>
    <phoneticPr fontId="2" type="noConversion"/>
  </si>
  <si>
    <t>비용-D-01-01-1)</t>
  </si>
  <si>
    <t>집행 기준 내</t>
    <phoneticPr fontId="2" type="noConversion"/>
  </si>
  <si>
    <t>재무회계본부장 합의 / 파트별 사업기획팀 상신or합의</t>
  </si>
  <si>
    <t>비용-D-01-01-2)</t>
  </si>
  <si>
    <t>2)</t>
  </si>
  <si>
    <t>집행 기준 외</t>
    <phoneticPr fontId="2" type="noConversion"/>
  </si>
  <si>
    <t>비용-D-02-01</t>
  </si>
  <si>
    <t>복리후생비</t>
    <phoneticPr fontId="2" type="noConversion"/>
  </si>
  <si>
    <t>제도화된사항</t>
    <phoneticPr fontId="2" type="noConversion"/>
  </si>
  <si>
    <t>비용-D-02-01-1)</t>
  </si>
  <si>
    <t>사내 식당, 카페테리아(스낵바, 커피머신 등), 생일선물, 자차지원, 경조금, 4대보험</t>
    <phoneticPr fontId="2" type="noConversion"/>
  </si>
  <si>
    <t>인사팀 참조</t>
    <phoneticPr fontId="2" type="noConversion"/>
  </si>
  <si>
    <t>업무승인규정 D.인사 01.인사일반에 따른 제도화된 사항(변경 시 업무승인규정 재품의 필요)</t>
    <phoneticPr fontId="2" type="noConversion"/>
  </si>
  <si>
    <t>비용-D-02-01-2)</t>
  </si>
  <si>
    <t>건강검진, 예방접종</t>
    <phoneticPr fontId="2" type="noConversion"/>
  </si>
  <si>
    <t>비용-D-02-01-※</t>
    <phoneticPr fontId="2" type="noConversion"/>
  </si>
  <si>
    <t>정기 비용 지급 관련 계약 건은 "지급수수료 정기비용 지급의 건" 준용</t>
    <phoneticPr fontId="2" type="noConversion"/>
  </si>
  <si>
    <t>비용-D-02-02</t>
  </si>
  <si>
    <t>생산/판매연동사항</t>
    <phoneticPr fontId="2" type="noConversion"/>
  </si>
  <si>
    <t>비용-D-02-02-1)</t>
  </si>
  <si>
    <t>생산/판매 연동 정기적인 소모성 피복류 구매(배정예산 內)</t>
    <phoneticPr fontId="2" type="noConversion"/>
  </si>
  <si>
    <t>안전화, 장갑, 마스크 등</t>
    <phoneticPr fontId="2" type="noConversion"/>
  </si>
  <si>
    <t>비용-D-02-02-※</t>
    <phoneticPr fontId="2" type="noConversion"/>
  </si>
  <si>
    <t>상기 이외 항목(일반근무복 등)은 하기 "일반사항" 전결규정 적용</t>
    <phoneticPr fontId="2" type="noConversion"/>
  </si>
  <si>
    <t>비용-D-02-03</t>
  </si>
  <si>
    <t>식비/회식비 성격 비용 : 식비, 회식비, 다과비, 업무활동비(본부장, 직/반장 등)</t>
    <phoneticPr fontId="2" type="noConversion"/>
  </si>
  <si>
    <t>비용-D-02-03-1)</t>
  </si>
  <si>
    <t>5십만원 이하</t>
    <phoneticPr fontId="2" type="noConversion"/>
  </si>
  <si>
    <t>비용-D-02-03-2)</t>
  </si>
  <si>
    <t>1백만원 이하</t>
    <phoneticPr fontId="2" type="noConversion"/>
  </si>
  <si>
    <t>비용-D-02-03-3)</t>
  </si>
  <si>
    <t>1백만원 초과</t>
    <phoneticPr fontId="2" type="noConversion"/>
  </si>
  <si>
    <t>비용-D-02-03-※</t>
    <phoneticPr fontId="2" type="noConversion"/>
  </si>
  <si>
    <t>부서 내 경상적인 비용이며, 상기 이외 항목(행사 등)은 하기 "일반사항" 전결규정 적용</t>
    <phoneticPr fontId="2" type="noConversion"/>
  </si>
  <si>
    <t>비용-D-02-04</t>
  </si>
  <si>
    <t>일반사항</t>
    <phoneticPr fontId="2" type="noConversion"/>
  </si>
  <si>
    <t>비용-D-02-04-1)</t>
  </si>
  <si>
    <t>기본품의</t>
    <phoneticPr fontId="2" type="noConversion"/>
  </si>
  <si>
    <t>가</t>
    <phoneticPr fontId="2" type="noConversion"/>
  </si>
  <si>
    <t>3백만원 이하</t>
    <phoneticPr fontId="2" type="noConversion"/>
  </si>
  <si>
    <t>비용-D-02-04-※</t>
    <phoneticPr fontId="2" type="noConversion"/>
  </si>
  <si>
    <t>정기적 발생 건은 연간 기본품의 획득 → 업무 진행 시 팀장 전결로 시행품의 진행</t>
    <phoneticPr fontId="2" type="noConversion"/>
  </si>
  <si>
    <t>비용-D-02-04-2)</t>
  </si>
  <si>
    <t>시행품의</t>
    <phoneticPr fontId="2" type="noConversion"/>
  </si>
  <si>
    <t>비용-D-03-01</t>
  </si>
  <si>
    <t>03</t>
  </si>
  <si>
    <t>교육훈련비</t>
    <phoneticPr fontId="2" type="noConversion"/>
  </si>
  <si>
    <t>비용-D-03-01-1)</t>
  </si>
  <si>
    <t>HRD 주관부서 합의</t>
    <phoneticPr fontId="2" type="noConversion"/>
  </si>
  <si>
    <t>비용-D-03-01-2)</t>
  </si>
  <si>
    <t>비용-D-03-01-3)</t>
  </si>
  <si>
    <t>HRD 주관부서 합의, 재무회계본부장 합의</t>
  </si>
  <si>
    <t>비용-D-03-01-4)</t>
  </si>
  <si>
    <t>4)</t>
    <phoneticPr fontId="2" type="noConversion"/>
  </si>
  <si>
    <t>비용-D-03-01-5)</t>
  </si>
  <si>
    <t>5)</t>
    <phoneticPr fontId="2" type="noConversion"/>
  </si>
  <si>
    <t>비용-D-03-01-※</t>
    <phoneticPr fontId="2" type="noConversion"/>
  </si>
  <si>
    <t>비용-D-03-02</t>
  </si>
  <si>
    <t>비용-D-03-02-1)</t>
  </si>
  <si>
    <t>HRD 주관부서</t>
    <phoneticPr fontId="2" type="noConversion"/>
  </si>
  <si>
    <t>비용-D-03-02-2)</t>
  </si>
  <si>
    <t>비용-D-03-02-3)</t>
  </si>
  <si>
    <t>비용-D-03-02-4)</t>
  </si>
  <si>
    <t>비용-D-03-02-5)</t>
  </si>
  <si>
    <t>비용-D-04-01</t>
  </si>
  <si>
    <t>04</t>
  </si>
  <si>
    <t>여비교통비</t>
  </si>
  <si>
    <t>국내 출장</t>
    <phoneticPr fontId="2" type="noConversion"/>
  </si>
  <si>
    <t>비용-D-04-01-1)</t>
  </si>
  <si>
    <t>개별 출장 건 5십만원 이하</t>
    <phoneticPr fontId="2" type="noConversion"/>
  </si>
  <si>
    <t>비용 정산을 위한 규정으로 기본 품의는 업무 승인 규정 승인 선행 필수</t>
    <phoneticPr fontId="2" type="noConversion"/>
  </si>
  <si>
    <t>비용-D-04-01-2)</t>
  </si>
  <si>
    <t>개별 출장 건 5십만원 초과</t>
    <phoneticPr fontId="2" type="noConversion"/>
  </si>
  <si>
    <t>비용-D-04-01-3)</t>
  </si>
  <si>
    <t>개별 출장 건 사내규정 외 집행</t>
    <phoneticPr fontId="2" type="noConversion"/>
  </si>
  <si>
    <t>인사팀 합의</t>
    <phoneticPr fontId="2" type="noConversion"/>
  </si>
  <si>
    <t>당사 기준초과 금액별 '비용-A-01-03-3)' 규정 준용, 별도 품의 획득 필요</t>
    <phoneticPr fontId="2" type="noConversion"/>
  </si>
  <si>
    <t>비용-D-04-02</t>
  </si>
  <si>
    <t>해외 출장</t>
    <phoneticPr fontId="2" type="noConversion"/>
  </si>
  <si>
    <t>비용-D-04-02-1)</t>
  </si>
  <si>
    <t>개별 출장 건 팀장 이하</t>
    <phoneticPr fontId="2" type="noConversion"/>
  </si>
  <si>
    <t>비용-D-04-02-2)</t>
  </si>
  <si>
    <t>개별 출장 건 본부장/임원 이상</t>
    <phoneticPr fontId="2" type="noConversion"/>
  </si>
  <si>
    <t>비용-D-04-02-3)</t>
  </si>
  <si>
    <t>비용-D-04-03</t>
  </si>
  <si>
    <t>시내 교통</t>
    <phoneticPr fontId="2" type="noConversion"/>
  </si>
  <si>
    <t>비용-D-04-03-1)</t>
  </si>
  <si>
    <t>비용-D-04-03-2)</t>
  </si>
  <si>
    <t>5십만원 초과</t>
    <phoneticPr fontId="2" type="noConversion"/>
  </si>
  <si>
    <t>비용-D-05-01</t>
  </si>
  <si>
    <t>05</t>
  </si>
  <si>
    <t>차량유지비(월 결산 기준)</t>
    <phoneticPr fontId="2" type="noConversion"/>
  </si>
  <si>
    <t>차량 임차 및 세차 등 정기 지급의 건</t>
    <phoneticPr fontId="2" type="noConversion"/>
  </si>
  <si>
    <t>비용-D-05-01-1)</t>
  </si>
  <si>
    <t>임원 차량</t>
    <phoneticPr fontId="2" type="noConversion"/>
  </si>
  <si>
    <t>비용-D-05-01-2)</t>
  </si>
  <si>
    <t>업무용 차량</t>
    <phoneticPr fontId="2" type="noConversion"/>
  </si>
  <si>
    <t>비용-D-05-02</t>
  </si>
  <si>
    <t>정기 지급 건 이외 사고 수리 및 차량의 정비 등의 비용 집행</t>
    <phoneticPr fontId="2" type="noConversion"/>
  </si>
  <si>
    <t>비용-D-05-02-1)</t>
  </si>
  <si>
    <t>비용-D-05-02-2)</t>
  </si>
  <si>
    <t>비용-D-05-03</t>
  </si>
  <si>
    <t>유류대 및 통행료</t>
    <phoneticPr fontId="2" type="noConversion"/>
  </si>
  <si>
    <t>비용-D-05-03-1)</t>
  </si>
  <si>
    <t>임원 3십만원 이하, 업무용 차량 5십만원 이하</t>
    <phoneticPr fontId="2" type="noConversion"/>
  </si>
  <si>
    <t>품의간 영수증 등 근거첨부 必</t>
    <phoneticPr fontId="2" type="noConversion"/>
  </si>
  <si>
    <t>비용-D-05-03-2)</t>
  </si>
  <si>
    <t>임원 3십만원 초과, 업무용 차량 5십만원 초과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</si>
</sst>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."/>
  </numFmts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</font>
    <font>
      <sz val="11"/>
      <name val="돋움"/>
      <family val="3"/>
      <charset val="129"/>
    </font>
    <font>
      <sz val="24"/>
      <color theme="1"/>
      <name val="맑은 고딕"/>
      <family val="3"/>
      <charset val="129"/>
    </font>
    <font>
      <b/>
      <u val="singleAccounting"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u val="singleAccounting"/>
      <sz val="11"/>
      <color theme="1"/>
      <name val="맑은 고딕"/>
      <family val="3"/>
      <charset val="129"/>
      <scheme val="minor"/>
    </font>
    <font>
      <u val="singleAccounting"/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theme="1"/>
      </top>
      <bottom/>
      <diagonal/>
    </border>
    <border>
      <left/>
      <right/>
      <top style="hair">
        <color theme="1"/>
      </top>
      <bottom/>
      <diagonal/>
    </border>
  </borders>
  <cellStyleXfs count="7">
    <xf numFmtId="0" fontId="0" fillId="0" borderId="0">
      <alignment vertical="center"/>
    </xf>
    <xf numFmtId="0" fontId="3" fillId="0" borderId="0">
      <alignment vertical="center"/>
    </xf>
    <xf numFmtId="0" fontId="4" fillId="0" borderId="0"/>
    <xf numFmtId="0" fontId="8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0" fillId="0" borderId="0" xfId="0" applyAlignment="1">
      <alignment horizontal="right"/>
    </xf>
    <xf numFmtId="0" fontId="5" fillId="0" borderId="0" xfId="0" applyFont="1" applyAlignment="1">
      <alignment horizontal="right"/>
    </xf>
    <xf numFmtId="0" fontId="7" fillId="0" borderId="0" xfId="0" applyFont="1" applyAlignment="1">
      <alignment horizontal="left" vertical="center"/>
    </xf>
    <xf numFmtId="0" fontId="9" fillId="0" borderId="0" xfId="0" applyFont="1">
      <alignment vertical="center"/>
    </xf>
    <xf numFmtId="49" fontId="5" fillId="0" borderId="0" xfId="0" applyNumberFormat="1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left" vertical="center"/>
    </xf>
    <xf numFmtId="0" fontId="11" fillId="0" borderId="0" xfId="0" applyFont="1">
      <alignment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5" fillId="0" borderId="5" xfId="0" applyFont="1" applyBorder="1">
      <alignment vertical="center"/>
    </xf>
    <xf numFmtId="176" fontId="5" fillId="0" borderId="5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right" vertical="center"/>
    </xf>
    <xf numFmtId="49" fontId="5" fillId="0" borderId="5" xfId="0" applyNumberFormat="1" applyFont="1" applyBorder="1">
      <alignment vertical="center"/>
    </xf>
    <xf numFmtId="0" fontId="5" fillId="0" borderId="5" xfId="0" applyFont="1" applyBorder="1" applyAlignment="1">
      <alignment horizontal="left" vertical="center"/>
    </xf>
    <xf numFmtId="176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49" fontId="5" fillId="0" borderId="2" xfId="0" applyNumberFormat="1" applyFont="1" applyBorder="1">
      <alignment vertical="center"/>
    </xf>
    <xf numFmtId="176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5" fillId="0" borderId="6" xfId="0" applyFont="1" applyBorder="1" applyAlignment="1">
      <alignment horizontal="left" vertical="center"/>
    </xf>
    <xf numFmtId="49" fontId="5" fillId="0" borderId="6" xfId="0" applyNumberFormat="1" applyFont="1" applyBorder="1">
      <alignment vertical="center"/>
    </xf>
    <xf numFmtId="176" fontId="5" fillId="0" borderId="6" xfId="0" applyNumberFormat="1" applyFont="1" applyBorder="1" applyAlignment="1">
      <alignment horizontal="center" vertical="center"/>
    </xf>
    <xf numFmtId="0" fontId="5" fillId="0" borderId="6" xfId="0" applyFont="1" applyBorder="1">
      <alignment vertical="center"/>
    </xf>
    <xf numFmtId="49" fontId="5" fillId="0" borderId="7" xfId="0" applyNumberFormat="1" applyFont="1" applyBorder="1" applyAlignment="1">
      <alignment horizontal="right" vertical="center"/>
    </xf>
    <xf numFmtId="176" fontId="5" fillId="0" borderId="7" xfId="0" applyNumberFormat="1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49" fontId="5" fillId="0" borderId="7" xfId="0" applyNumberFormat="1" applyFont="1" applyBorder="1">
      <alignment vertical="center"/>
    </xf>
    <xf numFmtId="0" fontId="5" fillId="0" borderId="7" xfId="0" applyFont="1" applyBorder="1" applyAlignment="1">
      <alignment horizontal="right" vertical="center"/>
    </xf>
    <xf numFmtId="0" fontId="5" fillId="0" borderId="7" xfId="0" applyFont="1" applyBorder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5" fillId="0" borderId="8" xfId="0" applyNumberFormat="1" applyFont="1" applyBorder="1">
      <alignment vertical="center"/>
    </xf>
    <xf numFmtId="176" fontId="5" fillId="0" borderId="8" xfId="0" applyNumberFormat="1" applyFont="1" applyBorder="1" applyAlignment="1">
      <alignment horizontal="center" vertical="center"/>
    </xf>
    <xf numFmtId="0" fontId="5" fillId="0" borderId="8" xfId="0" applyFont="1" applyBorder="1">
      <alignment vertical="center"/>
    </xf>
    <xf numFmtId="0" fontId="5" fillId="0" borderId="8" xfId="0" applyFont="1" applyBorder="1" applyAlignment="1">
      <alignment horizontal="left" vertical="center"/>
    </xf>
    <xf numFmtId="49" fontId="5" fillId="0" borderId="9" xfId="0" applyNumberFormat="1" applyFont="1" applyBorder="1">
      <alignment vertical="center"/>
    </xf>
    <xf numFmtId="176" fontId="5" fillId="0" borderId="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right" vertical="center"/>
    </xf>
    <xf numFmtId="176" fontId="5" fillId="0" borderId="10" xfId="0" applyNumberFormat="1" applyFont="1" applyBorder="1" applyAlignment="1">
      <alignment horizontal="center" vertical="center"/>
    </xf>
    <xf numFmtId="0" fontId="5" fillId="0" borderId="10" xfId="0" applyFont="1" applyBorder="1">
      <alignment vertical="center"/>
    </xf>
    <xf numFmtId="49" fontId="5" fillId="0" borderId="10" xfId="0" applyNumberFormat="1" applyFont="1" applyBorder="1">
      <alignment vertical="center"/>
    </xf>
    <xf numFmtId="0" fontId="5" fillId="0" borderId="10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right" vertical="center"/>
    </xf>
    <xf numFmtId="17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49" fontId="5" fillId="0" borderId="1" xfId="0" applyNumberFormat="1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49" fontId="5" fillId="0" borderId="6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9" xfId="0" applyFont="1" applyBorder="1">
      <alignment vertical="center"/>
    </xf>
    <xf numFmtId="0" fontId="10" fillId="2" borderId="0" xfId="0" applyFont="1" applyFill="1">
      <alignment vertical="center"/>
    </xf>
    <xf numFmtId="0" fontId="6" fillId="0" borderId="4" xfId="0" applyFont="1" applyBorder="1" applyAlignment="1">
      <alignment horizontal="center" wrapText="1"/>
    </xf>
    <xf numFmtId="0" fontId="0" fillId="0" borderId="5" xfId="0" applyBorder="1">
      <alignment vertical="center"/>
    </xf>
    <xf numFmtId="0" fontId="13" fillId="2" borderId="5" xfId="0" applyFont="1" applyFill="1" applyBorder="1">
      <alignment vertical="center"/>
    </xf>
    <xf numFmtId="176" fontId="0" fillId="0" borderId="5" xfId="0" applyNumberFormat="1" applyBorder="1" applyAlignment="1">
      <alignment horizontal="center" vertical="center"/>
    </xf>
    <xf numFmtId="0" fontId="12" fillId="2" borderId="5" xfId="0" applyFont="1" applyFill="1" applyBorder="1">
      <alignment vertical="center"/>
    </xf>
    <xf numFmtId="49" fontId="5" fillId="0" borderId="5" xfId="0" applyNumberFormat="1" applyFont="1" applyBorder="1" applyAlignment="1">
      <alignment horizontal="left" vertical="center"/>
    </xf>
    <xf numFmtId="0" fontId="14" fillId="0" borderId="5" xfId="0" applyFont="1" applyBorder="1" applyAlignment="1">
      <alignment horizontal="center" vertical="center"/>
    </xf>
    <xf numFmtId="0" fontId="13" fillId="2" borderId="0" xfId="0" applyFont="1" applyFill="1">
      <alignment vertical="center"/>
    </xf>
    <xf numFmtId="176" fontId="0" fillId="0" borderId="0" xfId="0" applyNumberFormat="1" applyAlignment="1">
      <alignment horizontal="center" vertical="center"/>
    </xf>
    <xf numFmtId="0" fontId="12" fillId="2" borderId="0" xfId="0" applyFont="1" applyFill="1">
      <alignment vertical="center"/>
    </xf>
    <xf numFmtId="0" fontId="14" fillId="0" borderId="0" xfId="0" applyFont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13" fillId="2" borderId="1" xfId="0" applyFont="1" applyFill="1" applyBorder="1">
      <alignment vertical="center"/>
    </xf>
    <xf numFmtId="176" fontId="0" fillId="0" borderId="1" xfId="0" applyNumberFormat="1" applyBorder="1" applyAlignment="1">
      <alignment horizontal="center" vertical="center"/>
    </xf>
    <xf numFmtId="0" fontId="12" fillId="2" borderId="1" xfId="0" applyFont="1" applyFill="1" applyBorder="1">
      <alignment vertical="center"/>
    </xf>
    <xf numFmtId="49" fontId="5" fillId="0" borderId="11" xfId="0" applyNumberFormat="1" applyFont="1" applyBorder="1">
      <alignment vertical="center"/>
    </xf>
    <xf numFmtId="176" fontId="5" fillId="0" borderId="11" xfId="0" applyNumberFormat="1" applyFont="1" applyBorder="1" applyAlignment="1">
      <alignment horizontal="center" vertical="center"/>
    </xf>
    <xf numFmtId="0" fontId="5" fillId="0" borderId="11" xfId="0" applyFont="1" applyBorder="1">
      <alignment vertical="center"/>
    </xf>
    <xf numFmtId="0" fontId="14" fillId="0" borderId="11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2" fillId="2" borderId="7" xfId="0" applyFont="1" applyFill="1" applyBorder="1">
      <alignment vertical="center"/>
    </xf>
    <xf numFmtId="0" fontId="14" fillId="0" borderId="7" xfId="0" applyFont="1" applyBorder="1" applyAlignment="1">
      <alignment horizontal="center" vertical="center"/>
    </xf>
    <xf numFmtId="0" fontId="12" fillId="2" borderId="10" xfId="0" applyFont="1" applyFill="1" applyBorder="1">
      <alignment vertical="center"/>
    </xf>
    <xf numFmtId="0" fontId="14" fillId="0" borderId="9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7" xfId="0" applyBorder="1">
      <alignment vertical="center"/>
    </xf>
    <xf numFmtId="0" fontId="13" fillId="2" borderId="7" xfId="0" applyFont="1" applyFill="1" applyBorder="1">
      <alignment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0" fontId="14" fillId="0" borderId="9" xfId="0" applyFont="1" applyBorder="1">
      <alignment vertical="center"/>
    </xf>
    <xf numFmtId="49" fontId="5" fillId="0" borderId="10" xfId="0" applyNumberFormat="1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right" vertical="center"/>
    </xf>
    <xf numFmtId="176" fontId="5" fillId="0" borderId="12" xfId="0" applyNumberFormat="1" applyFont="1" applyBorder="1" applyAlignment="1">
      <alignment horizontal="center" vertical="center"/>
    </xf>
    <xf numFmtId="0" fontId="5" fillId="0" borderId="12" xfId="0" applyFont="1" applyBorder="1">
      <alignment vertical="center"/>
    </xf>
    <xf numFmtId="176" fontId="6" fillId="0" borderId="0" xfId="0" applyNumberFormat="1" applyFont="1" applyAlignment="1">
      <alignment horizontal="center" vertical="center"/>
    </xf>
    <xf numFmtId="49" fontId="5" fillId="0" borderId="13" xfId="0" applyNumberFormat="1" applyFont="1" applyBorder="1">
      <alignment vertical="center"/>
    </xf>
    <xf numFmtId="176" fontId="5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14" fillId="0" borderId="13" xfId="0" applyFont="1" applyBorder="1" applyAlignment="1">
      <alignment horizontal="center" vertical="center"/>
    </xf>
    <xf numFmtId="0" fontId="12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2" fillId="0" borderId="1" xfId="0" applyFont="1" applyBorder="1">
      <alignment vertical="center"/>
    </xf>
    <xf numFmtId="0" fontId="12" fillId="0" borderId="7" xfId="0" applyFont="1" applyBorder="1">
      <alignment vertical="center"/>
    </xf>
    <xf numFmtId="0" fontId="17" fillId="0" borderId="0" xfId="0" applyFont="1" applyAlignment="1">
      <alignment horizontal="left" vertical="center"/>
    </xf>
    <xf numFmtId="0" fontId="18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</cellXfs>
  <cellStyles count="7">
    <cellStyle name="쉼표 [0] 2" xfId="4" xr:uid="{89CE4EE2-75CD-4529-A283-9D5CC584F25B}"/>
    <cellStyle name="쉼표 [0] 2 2" xfId="6" xr:uid="{383D93A3-59C6-4526-9DC2-F5112E265C6E}"/>
    <cellStyle name="쉼표 [0] 3" xfId="5" xr:uid="{3E30CE0F-4809-4B5A-B5AC-33F2DC12BB6A}"/>
    <cellStyle name="표준" xfId="0" builtinId="0"/>
    <cellStyle name="표준 2" xfId="1" xr:uid="{EE1E32D3-6CDD-4260-B6D9-B68AD861281E}"/>
    <cellStyle name="표준 2 2" xfId="3" xr:uid="{4BD895DF-034C-49EF-BC4F-A2467C75DDE8}"/>
    <cellStyle name="표준 3" xfId="2" xr:uid="{AF9CF885-E0C5-4848-8458-552C80F081C9}"/>
  </cellStyles>
  <dxfs count="0"/>
  <tableStyles count="0" defaultTableStyle="TableStyleMedium2" defaultPivotStyle="PivotStyleLight16"/>
  <colors>
    <mruColors>
      <color rgb="FF0000FF"/>
      <color rgb="FFF14B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1039090</xdr:colOff>
      <xdr:row>26</xdr:row>
      <xdr:rowOff>34637</xdr:rowOff>
    </xdr:from>
    <xdr:to>
      <xdr:col>37</xdr:col>
      <xdr:colOff>56673</xdr:colOff>
      <xdr:row>27</xdr:row>
      <xdr:rowOff>93767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9667414-5D7A-4E1B-8020-17F6BD8E1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499" y="6632864"/>
          <a:ext cx="2685228" cy="3149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49CE7-7454-4341-B4AB-211832D088E4}">
  <sheetPr>
    <tabColor rgb="FFFFC000"/>
    <pageSetUpPr fitToPage="1"/>
  </sheetPr>
  <dimension ref="B1:AN151"/>
  <sheetViews>
    <sheetView showGridLines="0" tabSelected="1" zoomScale="70" zoomScaleNormal="70" zoomScaleSheetLayoutView="55" workbookViewId="0">
      <pane xSplit="12" ySplit="30" topLeftCell="AK31" activePane="bottomRight" state="frozen"/>
      <selection pane="bottomRight" activeCell="AK35" sqref="AK35"/>
      <selection pane="bottomLeft" activeCell="X194" sqref="X194"/>
      <selection pane="topRight" activeCell="X194" sqref="X194"/>
    </sheetView>
  </sheetViews>
  <sheetFormatPr defaultRowHeight="17.100000000000001" outlineLevelRow="1"/>
  <cols>
    <col min="1" max="1" width="1.875" customWidth="1"/>
    <col min="2" max="2" width="16.625" customWidth="1"/>
    <col min="3" max="3" width="1.125" customWidth="1"/>
    <col min="4" max="4" width="5.625" customWidth="1"/>
    <col min="5" max="5" width="1.125" customWidth="1"/>
    <col min="6" max="6" width="3" customWidth="1"/>
    <col min="7" max="7" width="0.5" customWidth="1"/>
    <col min="8" max="8" width="18.375" customWidth="1"/>
    <col min="9" max="9" width="1.125" customWidth="1"/>
    <col min="10" max="10" width="3" customWidth="1"/>
    <col min="11" max="11" width="0.5" customWidth="1"/>
    <col min="12" max="12" width="36.375" style="3" customWidth="1"/>
    <col min="13" max="13" width="1.125" style="3" customWidth="1"/>
    <col min="14" max="14" width="3" style="3" customWidth="1"/>
    <col min="15" max="15" width="0.5" style="5" customWidth="1"/>
    <col min="16" max="16" width="3.125" style="3" customWidth="1"/>
    <col min="17" max="17" width="0.5" style="3" customWidth="1"/>
    <col min="18" max="18" width="2.625" style="4" customWidth="1"/>
    <col min="19" max="19" width="0.5" style="5" customWidth="1"/>
    <col min="20" max="20" width="102.375" style="4" bestFit="1" customWidth="1"/>
    <col min="21" max="21" width="0.375" style="4" customWidth="1"/>
    <col min="22" max="22" width="11.875" style="5" customWidth="1"/>
    <col min="23" max="23" width="0.375" style="4" customWidth="1"/>
    <col min="24" max="24" width="11.875" style="5" customWidth="1"/>
    <col min="25" max="25" width="0.375" style="4" customWidth="1"/>
    <col min="26" max="26" width="11.875" style="5" customWidth="1"/>
    <col min="27" max="27" width="0.375" style="4" customWidth="1"/>
    <col min="28" max="28" width="11.875" style="5" customWidth="1"/>
    <col min="29" max="29" width="0.375" style="4" customWidth="1"/>
    <col min="30" max="30" width="11.875" style="5" customWidth="1"/>
    <col min="31" max="31" width="0.375" style="4" customWidth="1"/>
    <col min="32" max="32" width="23.625" style="5" customWidth="1"/>
    <col min="33" max="33" width="0.375" style="4" customWidth="1"/>
    <col min="34" max="34" width="23.625" style="4" customWidth="1"/>
    <col min="35" max="35" width="0.375" style="4" customWidth="1"/>
    <col min="36" max="36" width="23.625" style="5" customWidth="1"/>
    <col min="37" max="37" width="0.375" style="4" customWidth="1"/>
    <col min="38" max="38" width="89" style="4" customWidth="1"/>
    <col min="39" max="39" width="0.375" style="4" customWidth="1"/>
    <col min="40" max="40" width="104.125" style="4" bestFit="1" customWidth="1"/>
  </cols>
  <sheetData>
    <row r="1" spans="2:40" ht="42" customHeight="1">
      <c r="B1" s="9" t="s">
        <v>0</v>
      </c>
      <c r="V1" s="1"/>
      <c r="X1" s="1"/>
      <c r="Z1" s="1"/>
      <c r="AF1" s="1"/>
    </row>
    <row r="2" spans="2:40" ht="18.75" hidden="1" customHeight="1" outlineLevel="1">
      <c r="V2" s="1"/>
      <c r="X2" s="1"/>
      <c r="Z2" s="1"/>
      <c r="AD2" s="7"/>
      <c r="AF2" s="1"/>
    </row>
    <row r="3" spans="2:40" s="3" customFormat="1" ht="18.75" hidden="1" customHeight="1" outlineLevel="1">
      <c r="B3" s="2" t="s">
        <v>1</v>
      </c>
      <c r="O3" s="5"/>
      <c r="R3" s="4"/>
      <c r="S3" s="5"/>
      <c r="T3" s="4"/>
      <c r="U3" s="4"/>
      <c r="V3" s="5"/>
      <c r="W3" s="4"/>
      <c r="X3" s="5"/>
      <c r="Y3" s="4"/>
      <c r="Z3" s="5"/>
      <c r="AA3" s="4"/>
      <c r="AB3" s="5"/>
      <c r="AC3" s="4"/>
      <c r="AD3" s="8"/>
      <c r="AE3" s="4"/>
      <c r="AF3" s="5"/>
      <c r="AG3" s="4"/>
      <c r="AH3" s="4"/>
      <c r="AI3" s="4"/>
      <c r="AJ3" s="5"/>
      <c r="AK3" s="4"/>
      <c r="AL3" s="4"/>
      <c r="AM3" s="4"/>
      <c r="AN3" s="4"/>
    </row>
    <row r="4" spans="2:40" s="3" customFormat="1" ht="18.75" hidden="1" customHeight="1" outlineLevel="1">
      <c r="B4" s="3" t="s">
        <v>2</v>
      </c>
      <c r="O4" s="5"/>
      <c r="R4" s="4"/>
      <c r="S4" s="5"/>
      <c r="T4" s="4"/>
      <c r="U4" s="4"/>
      <c r="V4" s="5"/>
      <c r="W4" s="4"/>
      <c r="X4" s="5"/>
      <c r="Y4" s="4"/>
      <c r="Z4" s="5"/>
      <c r="AA4" s="4"/>
      <c r="AB4" s="5"/>
      <c r="AC4" s="4"/>
      <c r="AD4" s="8"/>
      <c r="AE4" s="4"/>
      <c r="AF4" s="5"/>
      <c r="AG4" s="4"/>
      <c r="AH4" s="4"/>
      <c r="AI4" s="4"/>
      <c r="AJ4" s="5"/>
      <c r="AK4" s="4"/>
      <c r="AL4" s="4"/>
      <c r="AM4" s="4"/>
      <c r="AN4" s="4"/>
    </row>
    <row r="5" spans="2:40" s="3" customFormat="1" ht="18.75" hidden="1" customHeight="1" outlineLevel="1">
      <c r="B5" s="3" t="s">
        <v>3</v>
      </c>
      <c r="O5" s="5"/>
      <c r="R5" s="4"/>
      <c r="S5" s="5"/>
      <c r="T5" s="4"/>
      <c r="U5" s="4"/>
      <c r="V5" s="5"/>
      <c r="W5" s="4"/>
      <c r="X5" s="5"/>
      <c r="Y5" s="4"/>
      <c r="Z5" s="5"/>
      <c r="AA5" s="4"/>
      <c r="AB5" s="5"/>
      <c r="AC5" s="4"/>
      <c r="AD5" s="8"/>
      <c r="AE5" s="4"/>
      <c r="AF5" s="5"/>
      <c r="AG5" s="4"/>
      <c r="AH5" s="4"/>
      <c r="AI5" s="4"/>
      <c r="AJ5" s="5"/>
      <c r="AK5" s="4"/>
      <c r="AL5" s="4"/>
      <c r="AM5" s="4"/>
      <c r="AN5" s="4"/>
    </row>
    <row r="6" spans="2:40" s="3" customFormat="1" ht="18.75" hidden="1" customHeight="1" outlineLevel="1">
      <c r="B6" s="3" t="s">
        <v>4</v>
      </c>
      <c r="O6" s="5"/>
      <c r="R6" s="4"/>
      <c r="S6" s="5"/>
      <c r="T6" s="4"/>
      <c r="U6" s="4"/>
      <c r="V6" s="5"/>
      <c r="W6" s="4"/>
      <c r="X6" s="5"/>
      <c r="Y6" s="4"/>
      <c r="Z6" s="5"/>
      <c r="AA6" s="4"/>
      <c r="AB6" s="5"/>
      <c r="AC6" s="4"/>
      <c r="AD6" s="8"/>
      <c r="AE6" s="4"/>
      <c r="AF6" s="5"/>
      <c r="AG6" s="4"/>
      <c r="AH6" s="4"/>
      <c r="AI6" s="4"/>
      <c r="AJ6" s="5"/>
      <c r="AK6" s="4"/>
      <c r="AL6" s="4"/>
      <c r="AM6" s="4"/>
      <c r="AN6" s="4"/>
    </row>
    <row r="7" spans="2:40" s="3" customFormat="1" ht="18.75" hidden="1" customHeight="1" outlineLevel="1">
      <c r="B7" s="3" t="s">
        <v>5</v>
      </c>
      <c r="O7" s="5"/>
      <c r="R7" s="4"/>
      <c r="S7" s="5"/>
      <c r="T7" s="4"/>
      <c r="U7" s="4"/>
      <c r="V7" s="5"/>
      <c r="W7" s="4"/>
      <c r="X7" s="5"/>
      <c r="Y7" s="4"/>
      <c r="Z7" s="5"/>
      <c r="AA7" s="4"/>
      <c r="AB7" s="5"/>
      <c r="AC7" s="4"/>
      <c r="AD7" s="8"/>
      <c r="AE7" s="4"/>
      <c r="AF7" s="5"/>
      <c r="AG7" s="4"/>
      <c r="AH7" s="4"/>
      <c r="AI7" s="4"/>
      <c r="AJ7" s="5"/>
      <c r="AK7" s="4"/>
      <c r="AL7" s="4"/>
      <c r="AM7" s="4"/>
      <c r="AN7" s="4"/>
    </row>
    <row r="8" spans="2:40" s="3" customFormat="1" ht="18.75" hidden="1" customHeight="1" outlineLevel="1">
      <c r="C8" s="111"/>
      <c r="D8" s="111"/>
      <c r="E8" s="111"/>
      <c r="F8" s="111"/>
      <c r="G8" s="111"/>
      <c r="H8" s="111"/>
      <c r="I8" s="111"/>
      <c r="J8" s="111"/>
      <c r="K8" s="111"/>
      <c r="L8" s="111"/>
      <c r="O8" s="5"/>
      <c r="R8" s="4"/>
      <c r="S8" s="5"/>
      <c r="T8" s="4"/>
      <c r="U8" s="4"/>
      <c r="V8" s="5"/>
      <c r="W8" s="4"/>
      <c r="X8" s="5"/>
      <c r="Y8" s="4"/>
      <c r="Z8" s="5"/>
      <c r="AA8" s="4"/>
      <c r="AB8" s="5"/>
      <c r="AC8" s="4"/>
      <c r="AD8" s="8"/>
      <c r="AE8" s="4"/>
      <c r="AF8" s="5"/>
      <c r="AG8" s="4"/>
      <c r="AH8" s="4"/>
      <c r="AI8" s="4"/>
      <c r="AJ8" s="5"/>
      <c r="AK8" s="4"/>
      <c r="AL8" s="4"/>
      <c r="AM8" s="4"/>
      <c r="AN8" s="4"/>
    </row>
    <row r="9" spans="2:40" s="3" customFormat="1" ht="18.75" hidden="1" customHeight="1" outlineLevel="1">
      <c r="B9" s="2" t="s">
        <v>6</v>
      </c>
      <c r="C9" s="111"/>
      <c r="D9" s="111"/>
      <c r="E9" s="111"/>
      <c r="F9" s="111"/>
      <c r="G9" s="111"/>
      <c r="H9" s="111"/>
      <c r="I9" s="111"/>
      <c r="J9" s="111"/>
      <c r="K9" s="111"/>
      <c r="L9" s="111"/>
      <c r="O9" s="5"/>
      <c r="R9" s="4"/>
      <c r="S9" s="5"/>
      <c r="T9" s="4"/>
      <c r="U9" s="4"/>
      <c r="V9" s="5"/>
      <c r="W9" s="4"/>
      <c r="X9" s="5"/>
      <c r="Y9" s="4"/>
      <c r="Z9" s="5"/>
      <c r="AA9" s="4"/>
      <c r="AB9" s="5"/>
      <c r="AC9" s="4"/>
      <c r="AD9" s="8"/>
      <c r="AE9" s="4"/>
      <c r="AF9" s="5"/>
      <c r="AG9" s="4"/>
      <c r="AH9" s="4"/>
      <c r="AI9" s="4"/>
      <c r="AJ9" s="5"/>
      <c r="AK9" s="4"/>
      <c r="AL9" s="4"/>
      <c r="AM9" s="4"/>
      <c r="AN9" s="4"/>
    </row>
    <row r="10" spans="2:40" s="3" customFormat="1" ht="18.75" hidden="1" customHeight="1" outlineLevel="1">
      <c r="B10" s="111" t="s">
        <v>7</v>
      </c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O10" s="5"/>
      <c r="R10" s="4"/>
      <c r="S10" s="5"/>
      <c r="T10" s="4"/>
      <c r="U10" s="4"/>
      <c r="V10" s="5"/>
      <c r="W10" s="4"/>
      <c r="X10" s="5"/>
      <c r="Y10" s="4"/>
      <c r="Z10" s="5"/>
      <c r="AA10" s="4"/>
      <c r="AB10" s="5"/>
      <c r="AC10" s="4"/>
      <c r="AD10" s="8"/>
      <c r="AE10" s="4"/>
      <c r="AF10" s="5"/>
      <c r="AG10" s="4"/>
      <c r="AH10" s="4"/>
      <c r="AI10" s="4"/>
      <c r="AJ10" s="5"/>
      <c r="AK10" s="4"/>
      <c r="AL10" s="4"/>
      <c r="AM10" s="4"/>
      <c r="AN10" s="4"/>
    </row>
    <row r="11" spans="2:40" s="3" customFormat="1" ht="18.75" hidden="1" customHeight="1" outlineLevel="1">
      <c r="B11" s="111" t="s">
        <v>8</v>
      </c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O11" s="5"/>
      <c r="R11" s="4"/>
      <c r="S11" s="5"/>
      <c r="T11" s="4"/>
      <c r="U11" s="4"/>
      <c r="V11" s="5"/>
      <c r="W11" s="4"/>
      <c r="X11" s="5"/>
      <c r="Y11" s="4"/>
      <c r="Z11" s="5"/>
      <c r="AA11" s="4"/>
      <c r="AB11" s="5"/>
      <c r="AC11" s="4"/>
      <c r="AD11" s="8"/>
      <c r="AE11" s="4"/>
      <c r="AF11" s="5"/>
      <c r="AG11" s="4"/>
      <c r="AH11" s="4"/>
      <c r="AI11" s="4"/>
      <c r="AJ11" s="5"/>
      <c r="AK11" s="4"/>
      <c r="AL11" s="4"/>
      <c r="AM11" s="4"/>
      <c r="AN11" s="4"/>
    </row>
    <row r="12" spans="2:40" s="3" customFormat="1" ht="18.75" hidden="1" customHeight="1" outlineLevel="1">
      <c r="B12" s="111" t="s">
        <v>9</v>
      </c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O12" s="5"/>
      <c r="R12" s="4"/>
      <c r="S12" s="5"/>
      <c r="T12" s="4"/>
      <c r="U12" s="4"/>
      <c r="V12" s="5"/>
      <c r="W12" s="4"/>
      <c r="X12" s="5"/>
      <c r="Y12" s="4"/>
      <c r="Z12" s="5"/>
      <c r="AA12" s="4"/>
      <c r="AB12" s="5"/>
      <c r="AC12" s="4"/>
      <c r="AD12" s="8"/>
      <c r="AE12" s="4"/>
      <c r="AF12" s="5"/>
      <c r="AG12" s="4"/>
      <c r="AH12" s="4"/>
      <c r="AI12" s="4"/>
      <c r="AJ12" s="5"/>
      <c r="AK12" s="4"/>
      <c r="AL12" s="4"/>
      <c r="AM12" s="4"/>
      <c r="AN12" s="4"/>
    </row>
    <row r="13" spans="2:40" s="3" customFormat="1" ht="18.75" hidden="1" customHeight="1" outlineLevel="1">
      <c r="B13" s="111" t="s">
        <v>10</v>
      </c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O13" s="5"/>
      <c r="R13" s="4"/>
      <c r="S13" s="5"/>
      <c r="T13" s="4"/>
      <c r="U13" s="4"/>
      <c r="V13" s="5"/>
      <c r="W13" s="4"/>
      <c r="X13" s="5"/>
      <c r="Y13" s="4"/>
      <c r="Z13" s="5"/>
      <c r="AA13" s="4"/>
      <c r="AB13" s="5"/>
      <c r="AC13" s="4"/>
      <c r="AD13" s="8"/>
      <c r="AE13" s="4"/>
      <c r="AF13" s="5"/>
      <c r="AG13" s="4"/>
      <c r="AH13" s="4"/>
      <c r="AI13" s="4"/>
      <c r="AJ13" s="5"/>
      <c r="AK13" s="4"/>
      <c r="AL13" s="4"/>
      <c r="AM13" s="4"/>
      <c r="AN13" s="4"/>
    </row>
    <row r="14" spans="2:40" s="3" customFormat="1" ht="18.75" hidden="1" customHeight="1" outlineLevel="1">
      <c r="B14" s="111" t="s">
        <v>11</v>
      </c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O14" s="5"/>
      <c r="R14" s="4"/>
      <c r="S14" s="5"/>
      <c r="T14" s="4"/>
      <c r="U14" s="4"/>
      <c r="V14" s="5"/>
      <c r="W14" s="4"/>
      <c r="X14" s="5"/>
      <c r="Y14" s="4"/>
      <c r="Z14" s="5"/>
      <c r="AA14" s="4"/>
      <c r="AB14" s="5"/>
      <c r="AC14" s="4"/>
      <c r="AD14" s="8"/>
      <c r="AE14" s="4"/>
      <c r="AF14" s="5"/>
      <c r="AG14" s="4"/>
      <c r="AH14" s="4"/>
      <c r="AI14" s="4"/>
      <c r="AJ14" s="5"/>
      <c r="AK14" s="4"/>
      <c r="AL14" s="4"/>
      <c r="AM14" s="4"/>
      <c r="AN14" s="4"/>
    </row>
    <row r="15" spans="2:40" s="4" customFormat="1" ht="18.75" hidden="1" customHeight="1" outlineLevel="1">
      <c r="B15" s="111" t="s">
        <v>12</v>
      </c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3"/>
      <c r="N15" s="3"/>
      <c r="O15" s="5"/>
      <c r="P15" s="3"/>
      <c r="Q15" s="3"/>
      <c r="S15" s="5"/>
      <c r="V15" s="5"/>
      <c r="X15" s="5"/>
      <c r="Z15" s="5"/>
      <c r="AB15" s="5"/>
      <c r="AD15" s="8"/>
      <c r="AF15" s="5"/>
      <c r="AJ15" s="5"/>
    </row>
    <row r="16" spans="2:40" s="3" customFormat="1" ht="18.75" hidden="1" customHeight="1" outlineLevel="1">
      <c r="B16" s="111" t="s">
        <v>13</v>
      </c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O16" s="5"/>
      <c r="R16" s="4"/>
      <c r="S16" s="5"/>
      <c r="T16" s="4"/>
      <c r="U16" s="4"/>
      <c r="V16" s="5"/>
      <c r="W16" s="4"/>
      <c r="X16" s="5"/>
      <c r="Y16" s="4"/>
      <c r="Z16" s="5"/>
      <c r="AA16" s="4"/>
      <c r="AB16" s="5"/>
      <c r="AC16" s="4"/>
      <c r="AD16" s="8"/>
      <c r="AE16" s="4"/>
      <c r="AF16" s="5"/>
      <c r="AG16" s="4"/>
      <c r="AH16" s="4"/>
      <c r="AI16" s="4"/>
      <c r="AJ16" s="5"/>
      <c r="AK16" s="4"/>
      <c r="AL16" s="4"/>
      <c r="AM16" s="4"/>
      <c r="AN16" s="4"/>
    </row>
    <row r="17" spans="2:40" s="3" customFormat="1" ht="18.75" hidden="1" customHeight="1" outlineLevel="1">
      <c r="B17" s="111" t="s">
        <v>14</v>
      </c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O17" s="5"/>
      <c r="R17" s="4"/>
      <c r="S17" s="5"/>
      <c r="T17" s="4"/>
      <c r="U17" s="4"/>
      <c r="V17" s="5"/>
      <c r="W17" s="4"/>
      <c r="X17" s="5"/>
      <c r="Y17" s="4"/>
      <c r="Z17" s="5"/>
      <c r="AA17" s="4"/>
      <c r="AB17" s="5"/>
      <c r="AC17" s="4"/>
      <c r="AD17" s="8"/>
      <c r="AE17" s="4"/>
      <c r="AF17" s="5"/>
      <c r="AG17" s="4"/>
      <c r="AH17" s="4"/>
      <c r="AI17" s="4"/>
      <c r="AJ17" s="5"/>
      <c r="AK17" s="4"/>
      <c r="AL17" s="4"/>
      <c r="AM17" s="4"/>
      <c r="AN17" s="4"/>
    </row>
    <row r="18" spans="2:40" s="3" customFormat="1" ht="18.75" hidden="1" customHeight="1" outlineLevel="1"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O18" s="5"/>
      <c r="R18" s="4"/>
      <c r="S18" s="5"/>
      <c r="T18" s="4"/>
      <c r="U18" s="4"/>
      <c r="V18" s="5"/>
      <c r="W18" s="4"/>
      <c r="X18" s="5"/>
      <c r="Y18" s="4"/>
      <c r="Z18" s="5"/>
      <c r="AA18" s="4"/>
      <c r="AB18" s="5"/>
      <c r="AC18" s="4"/>
      <c r="AD18" s="8"/>
      <c r="AE18" s="4"/>
      <c r="AF18" s="5"/>
      <c r="AG18" s="4"/>
      <c r="AH18" s="4"/>
      <c r="AI18" s="4"/>
      <c r="AJ18" s="5"/>
      <c r="AK18" s="4"/>
      <c r="AL18" s="4"/>
      <c r="AM18" s="4"/>
      <c r="AN18" s="4"/>
    </row>
    <row r="19" spans="2:40" s="3" customFormat="1" ht="18.75" hidden="1" customHeight="1" outlineLevel="1">
      <c r="B19" s="112" t="s">
        <v>15</v>
      </c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O19" s="5"/>
      <c r="R19" s="4"/>
      <c r="S19" s="5"/>
      <c r="T19" s="4"/>
      <c r="U19" s="4"/>
      <c r="V19" s="5"/>
      <c r="W19" s="4"/>
      <c r="X19" s="5"/>
      <c r="Y19" s="4"/>
      <c r="Z19" s="5"/>
      <c r="AA19" s="4"/>
      <c r="AB19" s="5"/>
      <c r="AC19" s="4"/>
      <c r="AD19" s="8"/>
      <c r="AE19" s="4"/>
      <c r="AF19" s="5"/>
      <c r="AG19" s="4"/>
      <c r="AH19" s="4"/>
      <c r="AI19" s="4"/>
      <c r="AJ19" s="5"/>
      <c r="AK19" s="4"/>
      <c r="AL19" s="4"/>
      <c r="AM19" s="4"/>
      <c r="AN19" s="4"/>
    </row>
    <row r="20" spans="2:40" s="3" customFormat="1" ht="18.75" hidden="1" customHeight="1" outlineLevel="1">
      <c r="B20" s="111" t="s">
        <v>16</v>
      </c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O20" s="5"/>
      <c r="R20" s="4"/>
      <c r="S20" s="5"/>
      <c r="T20" s="4"/>
      <c r="U20" s="4"/>
      <c r="V20" s="5"/>
      <c r="W20" s="4"/>
      <c r="X20" s="5"/>
      <c r="Y20" s="4"/>
      <c r="Z20" s="5"/>
      <c r="AA20" s="4"/>
      <c r="AB20" s="5"/>
      <c r="AC20" s="4"/>
      <c r="AD20" s="8"/>
      <c r="AE20" s="4"/>
      <c r="AF20" s="5"/>
      <c r="AG20" s="4"/>
      <c r="AH20" s="4"/>
      <c r="AI20" s="4"/>
      <c r="AJ20" s="5"/>
      <c r="AK20" s="4"/>
      <c r="AL20" s="4"/>
      <c r="AM20" s="4"/>
      <c r="AN20" s="4"/>
    </row>
    <row r="21" spans="2:40" s="3" customFormat="1" ht="18.75" hidden="1" customHeight="1" outlineLevel="1">
      <c r="B21" s="111" t="s">
        <v>17</v>
      </c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O21" s="5"/>
      <c r="R21" s="4"/>
      <c r="S21" s="5"/>
      <c r="T21" s="4"/>
      <c r="U21" s="4"/>
      <c r="V21" s="5"/>
      <c r="W21" s="4"/>
      <c r="X21" s="5"/>
      <c r="Y21" s="4"/>
      <c r="Z21" s="5"/>
      <c r="AA21" s="4"/>
      <c r="AB21" s="5"/>
      <c r="AC21" s="4"/>
      <c r="AD21" s="8"/>
      <c r="AE21" s="4"/>
      <c r="AF21" s="5"/>
      <c r="AG21" s="4"/>
      <c r="AH21" s="4"/>
      <c r="AI21" s="4"/>
      <c r="AJ21" s="5"/>
      <c r="AK21" s="4"/>
      <c r="AL21" s="4"/>
      <c r="AM21" s="4"/>
      <c r="AN21" s="4"/>
    </row>
    <row r="22" spans="2:40" s="3" customFormat="1" ht="18.75" hidden="1" customHeight="1" outlineLevel="1">
      <c r="B22" s="111" t="s">
        <v>18</v>
      </c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O22" s="5"/>
      <c r="R22" s="4"/>
      <c r="S22" s="5"/>
      <c r="T22" s="4"/>
      <c r="U22" s="4"/>
      <c r="V22" s="5"/>
      <c r="W22" s="4"/>
      <c r="X22" s="5"/>
      <c r="Y22" s="4"/>
      <c r="Z22" s="5"/>
      <c r="AA22" s="4"/>
      <c r="AB22" s="5"/>
      <c r="AC22" s="4"/>
      <c r="AD22" s="8"/>
      <c r="AE22" s="4"/>
      <c r="AF22" s="5"/>
      <c r="AG22" s="4"/>
      <c r="AH22" s="4"/>
      <c r="AI22" s="4"/>
      <c r="AJ22" s="5"/>
      <c r="AK22" s="4"/>
      <c r="AL22" s="4"/>
      <c r="AM22" s="4"/>
      <c r="AN22" s="4"/>
    </row>
    <row r="23" spans="2:40" s="3" customFormat="1" ht="18.75" hidden="1" customHeight="1" outlineLevel="1">
      <c r="B23" s="111" t="s">
        <v>19</v>
      </c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O23" s="5"/>
      <c r="R23" s="4"/>
      <c r="S23" s="5"/>
      <c r="T23" s="4"/>
      <c r="U23" s="4"/>
      <c r="V23" s="5"/>
      <c r="W23" s="4"/>
      <c r="X23" s="5"/>
      <c r="Y23" s="4"/>
      <c r="Z23" s="5"/>
      <c r="AA23" s="4"/>
      <c r="AB23" s="5"/>
      <c r="AC23" s="4"/>
      <c r="AD23" s="8"/>
      <c r="AE23" s="4"/>
      <c r="AF23" s="5"/>
      <c r="AG23" s="4"/>
      <c r="AH23" s="4"/>
      <c r="AI23" s="4"/>
      <c r="AJ23" s="5"/>
      <c r="AK23" s="4"/>
      <c r="AL23" s="4"/>
      <c r="AM23" s="4"/>
      <c r="AN23" s="4"/>
    </row>
    <row r="24" spans="2:40" ht="18.75" hidden="1" customHeight="1" outlineLevel="1">
      <c r="B24" s="111" t="s">
        <v>20</v>
      </c>
      <c r="V24" s="1"/>
      <c r="X24" s="1"/>
      <c r="Z24" s="1"/>
      <c r="AD24" s="7"/>
      <c r="AF24" s="1"/>
    </row>
    <row r="25" spans="2:40" ht="18.75" hidden="1" customHeight="1" outlineLevel="1">
      <c r="B25" s="111" t="s">
        <v>21</v>
      </c>
      <c r="V25" s="1"/>
      <c r="X25" s="1"/>
      <c r="Z25" s="1"/>
      <c r="AD25" s="7"/>
      <c r="AF25" s="1"/>
    </row>
    <row r="26" spans="2:40" ht="18.75" customHeight="1" collapsed="1">
      <c r="B26" s="10"/>
      <c r="D26" s="3"/>
      <c r="V26" s="1"/>
      <c r="X26" s="1"/>
      <c r="Z26" s="1"/>
      <c r="AD26" s="7"/>
      <c r="AF26" s="1"/>
    </row>
    <row r="27" spans="2:40" ht="18.75" customHeight="1">
      <c r="B27" s="10"/>
      <c r="D27" s="3"/>
      <c r="V27" s="1"/>
      <c r="X27" s="1"/>
      <c r="Z27" s="1"/>
      <c r="AD27" s="7"/>
      <c r="AF27" s="1"/>
    </row>
    <row r="28" spans="2:40" ht="18.75" customHeight="1">
      <c r="B28" s="10"/>
      <c r="D28" s="3"/>
      <c r="V28" s="1"/>
      <c r="X28" s="1"/>
      <c r="Z28" s="1"/>
      <c r="AD28" s="7"/>
      <c r="AF28" s="1"/>
    </row>
    <row r="29" spans="2:40" s="2" customFormat="1" ht="17.25" customHeight="1" thickBot="1">
      <c r="O29" s="12"/>
      <c r="R29" s="13"/>
      <c r="S29" s="12"/>
      <c r="U29" s="4"/>
      <c r="V29" s="117" t="s">
        <v>22</v>
      </c>
      <c r="W29" s="117"/>
      <c r="X29" s="117"/>
      <c r="Y29" s="117"/>
      <c r="Z29" s="117"/>
      <c r="AA29" s="117"/>
      <c r="AB29" s="117"/>
      <c r="AC29" s="117"/>
      <c r="AD29" s="117"/>
      <c r="AE29" s="117" t="s">
        <v>23</v>
      </c>
      <c r="AF29" s="117"/>
      <c r="AG29" s="117"/>
      <c r="AH29" s="117"/>
      <c r="AI29" s="117"/>
      <c r="AJ29" s="117"/>
      <c r="AK29" s="4"/>
      <c r="AL29" s="14"/>
      <c r="AM29" s="4"/>
      <c r="AN29" s="15"/>
    </row>
    <row r="30" spans="2:40" s="2" customFormat="1" ht="41.1" customHeight="1" thickBot="1">
      <c r="B30" s="2" t="s">
        <v>24</v>
      </c>
      <c r="C30" s="63"/>
      <c r="D30" s="2" t="s">
        <v>25</v>
      </c>
      <c r="E30" s="63"/>
      <c r="F30" s="16" t="s">
        <v>26</v>
      </c>
      <c r="G30" s="16"/>
      <c r="I30" s="63"/>
      <c r="J30" s="2" t="s">
        <v>27</v>
      </c>
      <c r="M30" s="63"/>
      <c r="N30" s="2" t="s">
        <v>28</v>
      </c>
      <c r="O30" s="12"/>
      <c r="R30" s="13"/>
      <c r="S30" s="12"/>
      <c r="T30" s="13"/>
      <c r="U30" s="4"/>
      <c r="V30" s="17" t="s">
        <v>29</v>
      </c>
      <c r="W30" s="4"/>
      <c r="X30" s="17" t="s">
        <v>30</v>
      </c>
      <c r="Y30" s="4"/>
      <c r="Z30" s="17" t="s">
        <v>31</v>
      </c>
      <c r="AA30" s="4"/>
      <c r="AB30" s="17" t="s">
        <v>32</v>
      </c>
      <c r="AC30" s="4"/>
      <c r="AD30" s="17" t="s">
        <v>33</v>
      </c>
      <c r="AE30" s="13"/>
      <c r="AF30" s="116" t="s">
        <v>34</v>
      </c>
      <c r="AG30" s="13"/>
      <c r="AH30" s="17" t="s">
        <v>35</v>
      </c>
      <c r="AI30" s="13"/>
      <c r="AJ30" s="17" t="s">
        <v>36</v>
      </c>
      <c r="AK30" s="4"/>
      <c r="AL30" s="18" t="s">
        <v>37</v>
      </c>
      <c r="AM30" s="4"/>
      <c r="AN30" s="64" t="s">
        <v>38</v>
      </c>
    </row>
    <row r="31" spans="2:40" ht="17.25" customHeight="1" thickTop="1">
      <c r="B31" s="65" t="s">
        <v>39</v>
      </c>
      <c r="C31" s="66"/>
      <c r="D31" s="65" t="s">
        <v>40</v>
      </c>
      <c r="E31" s="66"/>
      <c r="F31" s="67" t="s">
        <v>41</v>
      </c>
      <c r="G31" s="67" t="str">
        <f>IF(F31=0,,".")</f>
        <v>.</v>
      </c>
      <c r="H31" s="65" t="s">
        <v>42</v>
      </c>
      <c r="I31" s="66"/>
      <c r="J31" s="21" t="s">
        <v>43</v>
      </c>
      <c r="K31" s="20" t="s">
        <v>44</v>
      </c>
      <c r="L31" s="19" t="s">
        <v>45</v>
      </c>
      <c r="M31" s="68"/>
      <c r="N31" s="22" t="s">
        <v>46</v>
      </c>
      <c r="O31" s="20" t="s">
        <v>44</v>
      </c>
      <c r="P31" s="19" t="s">
        <v>47</v>
      </c>
      <c r="Q31" s="20"/>
      <c r="R31" s="69"/>
      <c r="S31" s="20"/>
      <c r="T31" s="23"/>
      <c r="V31" s="70"/>
      <c r="X31" s="70"/>
      <c r="Z31" s="70"/>
      <c r="AB31" s="70"/>
      <c r="AD31" s="70"/>
      <c r="AF31" s="70"/>
      <c r="AH31" s="70"/>
      <c r="AJ31" s="70"/>
      <c r="AL31" s="23"/>
      <c r="AN31" s="23"/>
    </row>
    <row r="32" spans="2:40" ht="17.25" customHeight="1">
      <c r="B32" t="s">
        <v>48</v>
      </c>
      <c r="C32" s="71"/>
      <c r="E32" s="71"/>
      <c r="F32" s="72"/>
      <c r="G32" s="72"/>
      <c r="I32" s="71"/>
      <c r="J32" s="25"/>
      <c r="K32" s="24"/>
      <c r="M32" s="73"/>
      <c r="N32" s="11"/>
      <c r="O32" s="24"/>
      <c r="P32" s="26" t="s">
        <v>49</v>
      </c>
      <c r="Q32" s="24"/>
      <c r="R32" s="40" t="s">
        <v>50</v>
      </c>
      <c r="S32" s="24"/>
      <c r="V32" s="74"/>
      <c r="X32" s="74"/>
      <c r="Z32" s="74">
        <v>1</v>
      </c>
      <c r="AB32" s="74"/>
      <c r="AD32" s="74"/>
      <c r="AF32" s="74">
        <v>3</v>
      </c>
      <c r="AH32" s="74"/>
      <c r="AJ32" s="74"/>
    </row>
    <row r="33" spans="2:40" ht="17.25" customHeight="1">
      <c r="B33" s="3" t="s">
        <v>51</v>
      </c>
      <c r="C33" s="71"/>
      <c r="E33" s="71"/>
      <c r="F33" s="72"/>
      <c r="G33" s="72"/>
      <c r="I33" s="71"/>
      <c r="J33" s="25"/>
      <c r="K33" s="24">
        <v>0</v>
      </c>
      <c r="M33" s="73"/>
      <c r="N33" s="41" t="s">
        <v>52</v>
      </c>
      <c r="O33" s="42" t="s">
        <v>44</v>
      </c>
      <c r="P33" s="43" t="s">
        <v>53</v>
      </c>
      <c r="Q33" s="42"/>
      <c r="R33" s="44"/>
      <c r="S33" s="42"/>
      <c r="T33" s="44"/>
      <c r="V33" s="75"/>
      <c r="X33" s="75"/>
      <c r="Z33" s="75"/>
      <c r="AB33" s="75"/>
      <c r="AD33" s="75"/>
      <c r="AF33" s="75"/>
      <c r="AH33" s="75"/>
      <c r="AJ33" s="75"/>
      <c r="AL33" s="44"/>
      <c r="AN33" s="44"/>
    </row>
    <row r="34" spans="2:40" ht="17.25" customHeight="1">
      <c r="B34" s="3" t="s">
        <v>54</v>
      </c>
      <c r="C34" s="71"/>
      <c r="E34" s="71"/>
      <c r="F34" s="72"/>
      <c r="G34" s="72"/>
      <c r="I34" s="71"/>
      <c r="J34" s="25"/>
      <c r="K34" s="24"/>
      <c r="M34" s="73"/>
      <c r="N34" s="11"/>
      <c r="O34" s="24"/>
      <c r="P34" s="26" t="s">
        <v>55</v>
      </c>
      <c r="Q34" s="24"/>
      <c r="R34" s="4" t="s">
        <v>56</v>
      </c>
      <c r="S34" s="24"/>
      <c r="V34" s="74"/>
      <c r="X34" s="74"/>
      <c r="Z34" s="74">
        <v>1</v>
      </c>
      <c r="AB34" s="74"/>
      <c r="AD34" s="74"/>
      <c r="AF34" s="74">
        <v>3</v>
      </c>
      <c r="AH34" s="74"/>
      <c r="AJ34" s="74"/>
    </row>
    <row r="35" spans="2:40" ht="17.25" customHeight="1">
      <c r="B35" s="3" t="s">
        <v>57</v>
      </c>
      <c r="C35" s="71"/>
      <c r="E35" s="71"/>
      <c r="F35" s="72"/>
      <c r="G35" s="72"/>
      <c r="I35" s="71"/>
      <c r="J35" s="25"/>
      <c r="K35" s="24"/>
      <c r="M35" s="73"/>
      <c r="N35" s="11"/>
      <c r="O35" s="24"/>
      <c r="P35" s="26" t="s">
        <v>58</v>
      </c>
      <c r="Q35" s="24"/>
      <c r="R35" s="4" t="s">
        <v>59</v>
      </c>
      <c r="S35" s="24"/>
      <c r="V35" s="74"/>
      <c r="X35" s="74">
        <v>1</v>
      </c>
      <c r="Z35" s="74"/>
      <c r="AB35" s="74"/>
      <c r="AD35" s="74"/>
      <c r="AF35" s="74">
        <v>3</v>
      </c>
      <c r="AH35" s="74"/>
      <c r="AJ35" s="74"/>
    </row>
    <row r="36" spans="2:40" ht="17.25" customHeight="1">
      <c r="B36" s="3" t="s">
        <v>60</v>
      </c>
      <c r="C36" s="71"/>
      <c r="E36" s="71"/>
      <c r="F36" s="72"/>
      <c r="G36" s="72"/>
      <c r="I36" s="71"/>
      <c r="J36" s="25"/>
      <c r="K36" s="24">
        <v>0</v>
      </c>
      <c r="M36" s="73"/>
      <c r="N36" s="41" t="s">
        <v>61</v>
      </c>
      <c r="O36" s="42" t="s">
        <v>44</v>
      </c>
      <c r="P36" s="43" t="s">
        <v>62</v>
      </c>
      <c r="Q36" s="42"/>
      <c r="R36" s="44"/>
      <c r="S36" s="42"/>
      <c r="T36" s="44"/>
      <c r="V36" s="75"/>
      <c r="X36" s="75"/>
      <c r="Z36" s="75"/>
      <c r="AB36" s="75"/>
      <c r="AD36" s="75"/>
      <c r="AF36" s="75"/>
      <c r="AH36" s="75"/>
      <c r="AJ36" s="75"/>
      <c r="AL36" s="44"/>
      <c r="AN36" s="44"/>
    </row>
    <row r="37" spans="2:40" ht="18.95">
      <c r="B37" s="3" t="s">
        <v>63</v>
      </c>
      <c r="C37" s="71"/>
      <c r="E37" s="71"/>
      <c r="F37" s="72"/>
      <c r="G37" s="72"/>
      <c r="I37" s="71"/>
      <c r="J37" s="25"/>
      <c r="K37" s="24">
        <v>0</v>
      </c>
      <c r="M37" s="73"/>
      <c r="N37" s="11"/>
      <c r="O37" s="24">
        <v>0</v>
      </c>
      <c r="P37" s="26" t="s">
        <v>55</v>
      </c>
      <c r="Q37" s="24"/>
      <c r="R37" s="4" t="s">
        <v>64</v>
      </c>
      <c r="S37" s="24"/>
      <c r="V37" s="74">
        <v>1</v>
      </c>
      <c r="X37" s="74"/>
      <c r="Z37" s="74"/>
      <c r="AB37" s="74"/>
      <c r="AD37" s="74"/>
      <c r="AF37" s="74"/>
      <c r="AH37" s="74"/>
      <c r="AJ37" s="74"/>
    </row>
    <row r="38" spans="2:40" s="4" customFormat="1" ht="17.25" customHeight="1">
      <c r="B38" s="3" t="s">
        <v>65</v>
      </c>
      <c r="C38" s="71"/>
      <c r="D38"/>
      <c r="E38" s="71"/>
      <c r="F38" s="72"/>
      <c r="G38" s="72"/>
      <c r="H38"/>
      <c r="I38" s="71"/>
      <c r="J38" s="25"/>
      <c r="K38" s="24"/>
      <c r="L38" s="3"/>
      <c r="M38" s="73"/>
      <c r="N38" s="11"/>
      <c r="O38" s="24"/>
      <c r="P38" s="26" t="s">
        <v>58</v>
      </c>
      <c r="Q38" s="24"/>
      <c r="R38" s="4" t="s">
        <v>66</v>
      </c>
      <c r="S38" s="24"/>
      <c r="V38" s="74"/>
      <c r="X38" s="74"/>
      <c r="Z38" s="74"/>
      <c r="AB38" s="74"/>
      <c r="AD38" s="74"/>
      <c r="AF38" s="74"/>
      <c r="AH38" s="74"/>
      <c r="AJ38" s="74"/>
    </row>
    <row r="39" spans="2:40" s="4" customFormat="1" ht="17.25" customHeight="1">
      <c r="B39" s="3" t="s">
        <v>65</v>
      </c>
      <c r="C39" s="71"/>
      <c r="D39"/>
      <c r="E39" s="71"/>
      <c r="F39" s="72"/>
      <c r="G39" s="72"/>
      <c r="H39"/>
      <c r="I39" s="71"/>
      <c r="J39" s="25"/>
      <c r="K39" s="24"/>
      <c r="L39" s="3"/>
      <c r="M39" s="73"/>
      <c r="N39" s="11"/>
      <c r="O39" s="24"/>
      <c r="P39" s="26"/>
      <c r="Q39" s="24"/>
      <c r="R39" s="4" t="s">
        <v>67</v>
      </c>
      <c r="S39" s="24"/>
      <c r="T39" s="4" t="s">
        <v>68</v>
      </c>
      <c r="V39" s="74">
        <v>1</v>
      </c>
      <c r="X39" s="74"/>
      <c r="Z39" s="74"/>
      <c r="AB39" s="74"/>
      <c r="AD39" s="74"/>
      <c r="AF39" s="74">
        <v>2</v>
      </c>
      <c r="AH39" s="74"/>
      <c r="AJ39" s="74"/>
      <c r="AL39" s="118" t="s">
        <v>69</v>
      </c>
    </row>
    <row r="40" spans="2:40" s="4" customFormat="1" ht="17.25" customHeight="1">
      <c r="B40" s="3" t="s">
        <v>65</v>
      </c>
      <c r="C40" s="71"/>
      <c r="D40"/>
      <c r="E40" s="71"/>
      <c r="F40" s="72"/>
      <c r="G40" s="72"/>
      <c r="H40"/>
      <c r="I40" s="71"/>
      <c r="J40" s="25"/>
      <c r="K40" s="24"/>
      <c r="L40" s="3"/>
      <c r="M40" s="73"/>
      <c r="N40" s="11"/>
      <c r="O40" s="24"/>
      <c r="P40" s="26"/>
      <c r="Q40" s="24"/>
      <c r="R40" s="4" t="s">
        <v>70</v>
      </c>
      <c r="S40" s="24" t="s">
        <v>44</v>
      </c>
      <c r="T40" s="4" t="s">
        <v>71</v>
      </c>
      <c r="V40" s="74"/>
      <c r="X40" s="74">
        <v>1</v>
      </c>
      <c r="Z40" s="74">
        <v>3</v>
      </c>
      <c r="AB40" s="74"/>
      <c r="AD40" s="74"/>
      <c r="AF40" s="74">
        <v>2</v>
      </c>
      <c r="AH40" s="74"/>
      <c r="AJ40" s="74"/>
      <c r="AL40" s="119"/>
    </row>
    <row r="41" spans="2:40" s="4" customFormat="1" ht="17.25" customHeight="1">
      <c r="B41" s="3" t="s">
        <v>65</v>
      </c>
      <c r="C41" s="71"/>
      <c r="D41"/>
      <c r="E41" s="71"/>
      <c r="F41" s="72"/>
      <c r="G41" s="72"/>
      <c r="H41"/>
      <c r="I41" s="71"/>
      <c r="J41" s="25"/>
      <c r="K41" s="24"/>
      <c r="L41" s="3"/>
      <c r="M41" s="73"/>
      <c r="N41" s="11"/>
      <c r="O41" s="24"/>
      <c r="P41" s="26"/>
      <c r="Q41" s="24"/>
      <c r="R41" s="4" t="s">
        <v>72</v>
      </c>
      <c r="S41" s="24" t="s">
        <v>44</v>
      </c>
      <c r="T41" s="4" t="s">
        <v>73</v>
      </c>
      <c r="V41" s="74"/>
      <c r="X41" s="74"/>
      <c r="Z41" s="74">
        <v>1</v>
      </c>
      <c r="AB41" s="74"/>
      <c r="AD41" s="74"/>
      <c r="AF41" s="74">
        <v>2</v>
      </c>
      <c r="AH41" s="74">
        <v>2</v>
      </c>
      <c r="AJ41" s="74"/>
      <c r="AL41" s="119"/>
    </row>
    <row r="42" spans="2:40" s="4" customFormat="1" ht="17.25" customHeight="1">
      <c r="B42" s="3" t="s">
        <v>65</v>
      </c>
      <c r="C42" s="71"/>
      <c r="D42"/>
      <c r="E42" s="71"/>
      <c r="F42" s="72"/>
      <c r="G42" s="72"/>
      <c r="H42"/>
      <c r="I42" s="71"/>
      <c r="J42" s="25"/>
      <c r="K42" s="24"/>
      <c r="L42" s="3"/>
      <c r="M42" s="73"/>
      <c r="N42" s="11"/>
      <c r="O42" s="24"/>
      <c r="P42" s="3"/>
      <c r="Q42" s="24"/>
      <c r="R42" s="4" t="s">
        <v>74</v>
      </c>
      <c r="S42" s="24" t="s">
        <v>44</v>
      </c>
      <c r="T42" s="4" t="s">
        <v>75</v>
      </c>
      <c r="V42" s="74"/>
      <c r="X42" s="74"/>
      <c r="Z42" s="74"/>
      <c r="AB42" s="74">
        <v>1</v>
      </c>
      <c r="AD42" s="74"/>
      <c r="AF42" s="74">
        <v>2</v>
      </c>
      <c r="AH42" s="74">
        <v>2</v>
      </c>
      <c r="AJ42" s="74">
        <v>2</v>
      </c>
      <c r="AL42" s="119"/>
    </row>
    <row r="43" spans="2:40" s="4" customFormat="1" ht="17.25" customHeight="1">
      <c r="B43" s="3" t="s">
        <v>65</v>
      </c>
      <c r="C43" s="71"/>
      <c r="D43"/>
      <c r="E43" s="71"/>
      <c r="F43" s="72"/>
      <c r="G43" s="72"/>
      <c r="H43"/>
      <c r="I43" s="71"/>
      <c r="J43" s="25"/>
      <c r="K43" s="24"/>
      <c r="L43" s="3"/>
      <c r="M43" s="73"/>
      <c r="N43" s="11"/>
      <c r="O43" s="24"/>
      <c r="P43" s="3"/>
      <c r="Q43" s="24"/>
      <c r="R43" s="4" t="s">
        <v>76</v>
      </c>
      <c r="S43" s="24" t="s">
        <v>44</v>
      </c>
      <c r="T43" s="4" t="s">
        <v>77</v>
      </c>
      <c r="V43" s="74"/>
      <c r="X43" s="74"/>
      <c r="Z43" s="74"/>
      <c r="AB43" s="74"/>
      <c r="AD43" s="74">
        <v>1</v>
      </c>
      <c r="AF43" s="74">
        <v>2</v>
      </c>
      <c r="AH43" s="74">
        <v>2</v>
      </c>
      <c r="AJ43" s="74">
        <v>2</v>
      </c>
      <c r="AL43" s="119"/>
      <c r="AN43" s="4" t="s">
        <v>78</v>
      </c>
    </row>
    <row r="44" spans="2:40" s="4" customFormat="1" ht="17.25" customHeight="1">
      <c r="B44" s="3" t="s">
        <v>65</v>
      </c>
      <c r="C44" s="71"/>
      <c r="D44"/>
      <c r="E44" s="71"/>
      <c r="F44" s="72"/>
      <c r="G44" s="72"/>
      <c r="H44"/>
      <c r="I44" s="71"/>
      <c r="J44" s="25"/>
      <c r="K44" s="24"/>
      <c r="L44" s="3"/>
      <c r="M44" s="73"/>
      <c r="N44" s="11"/>
      <c r="O44" s="24"/>
      <c r="P44" s="3"/>
      <c r="Q44" s="24"/>
      <c r="R44" s="40" t="s">
        <v>79</v>
      </c>
      <c r="S44" s="24" t="s">
        <v>44</v>
      </c>
      <c r="T44" s="4" t="s">
        <v>80</v>
      </c>
      <c r="V44" s="74"/>
      <c r="X44" s="74">
        <v>1</v>
      </c>
      <c r="Z44" s="74">
        <v>3</v>
      </c>
      <c r="AB44" s="74"/>
      <c r="AD44" s="74"/>
      <c r="AF44" s="74">
        <v>2</v>
      </c>
      <c r="AH44" s="74"/>
      <c r="AJ44" s="74"/>
      <c r="AL44" s="4" t="s">
        <v>81</v>
      </c>
    </row>
    <row r="45" spans="2:40" s="4" customFormat="1" ht="17.25" customHeight="1">
      <c r="B45" s="3" t="s">
        <v>65</v>
      </c>
      <c r="C45" s="71"/>
      <c r="D45"/>
      <c r="E45" s="71"/>
      <c r="F45" s="72"/>
      <c r="G45" s="72"/>
      <c r="H45"/>
      <c r="I45" s="71"/>
      <c r="J45" s="25"/>
      <c r="K45" s="24"/>
      <c r="L45" s="3"/>
      <c r="M45" s="73"/>
      <c r="N45" s="11"/>
      <c r="O45" s="24"/>
      <c r="P45" s="3"/>
      <c r="Q45" s="24"/>
      <c r="R45" s="4" t="s">
        <v>82</v>
      </c>
      <c r="S45" s="24" t="s">
        <v>44</v>
      </c>
      <c r="T45" s="4" t="s">
        <v>83</v>
      </c>
      <c r="V45" s="74"/>
      <c r="X45" s="74"/>
      <c r="Z45" s="74"/>
      <c r="AB45" s="74"/>
      <c r="AD45" s="74"/>
      <c r="AF45" s="74"/>
      <c r="AH45" s="74"/>
      <c r="AJ45" s="74"/>
    </row>
    <row r="46" spans="2:40" s="4" customFormat="1" ht="17.25" customHeight="1">
      <c r="B46" s="3" t="s">
        <v>65</v>
      </c>
      <c r="C46" s="71"/>
      <c r="D46"/>
      <c r="E46" s="71"/>
      <c r="F46" s="72"/>
      <c r="G46" s="72"/>
      <c r="H46"/>
      <c r="I46" s="71"/>
      <c r="J46" s="25"/>
      <c r="K46" s="24"/>
      <c r="L46" s="3"/>
      <c r="M46" s="73"/>
      <c r="N46" s="11"/>
      <c r="O46" s="24"/>
      <c r="P46" s="3"/>
      <c r="Q46" s="24"/>
      <c r="R46" s="4" t="s">
        <v>82</v>
      </c>
      <c r="S46" s="24" t="s">
        <v>44</v>
      </c>
      <c r="T46" s="4" t="s">
        <v>84</v>
      </c>
      <c r="V46" s="74"/>
      <c r="X46" s="74"/>
      <c r="Z46" s="74"/>
      <c r="AB46" s="74"/>
      <c r="AD46" s="74"/>
      <c r="AF46" s="74"/>
      <c r="AH46" s="74"/>
      <c r="AJ46" s="74"/>
      <c r="AL46" s="4" t="s">
        <v>85</v>
      </c>
    </row>
    <row r="47" spans="2:40" s="4" customFormat="1" ht="16.350000000000001" customHeight="1">
      <c r="B47" s="3" t="s">
        <v>86</v>
      </c>
      <c r="C47" s="71"/>
      <c r="D47"/>
      <c r="E47" s="71"/>
      <c r="F47" s="72"/>
      <c r="G47" s="72"/>
      <c r="H47"/>
      <c r="I47" s="71"/>
      <c r="J47" s="25"/>
      <c r="K47" s="24"/>
      <c r="L47" s="3"/>
      <c r="M47" s="73"/>
      <c r="N47" s="11"/>
      <c r="O47" s="24"/>
      <c r="P47" s="26" t="s">
        <v>87</v>
      </c>
      <c r="Q47" s="24"/>
      <c r="R47" s="4" t="s">
        <v>88</v>
      </c>
      <c r="S47" s="24"/>
      <c r="V47" s="74"/>
      <c r="X47" s="74"/>
      <c r="Z47" s="74"/>
      <c r="AB47" s="74"/>
      <c r="AD47" s="74"/>
      <c r="AF47" s="74"/>
      <c r="AH47" s="74"/>
      <c r="AJ47" s="74"/>
    </row>
    <row r="48" spans="2:40" s="4" customFormat="1" ht="17.25" customHeight="1">
      <c r="B48" s="3" t="s">
        <v>89</v>
      </c>
      <c r="C48" s="71"/>
      <c r="D48"/>
      <c r="E48" s="71"/>
      <c r="F48" s="72"/>
      <c r="G48" s="72"/>
      <c r="H48"/>
      <c r="I48" s="71"/>
      <c r="J48" s="25"/>
      <c r="K48" s="24"/>
      <c r="L48" s="3"/>
      <c r="M48" s="73"/>
      <c r="N48" s="11"/>
      <c r="O48" s="24"/>
      <c r="P48" s="26"/>
      <c r="Q48" s="24"/>
      <c r="R48" s="4" t="s">
        <v>67</v>
      </c>
      <c r="S48" s="24"/>
      <c r="T48" s="4" t="s">
        <v>90</v>
      </c>
      <c r="V48" s="74">
        <v>1</v>
      </c>
      <c r="X48" s="74"/>
      <c r="Z48" s="74"/>
      <c r="AB48" s="74"/>
      <c r="AD48" s="74"/>
      <c r="AF48" s="74">
        <v>2</v>
      </c>
      <c r="AH48" s="74"/>
      <c r="AJ48" s="74"/>
    </row>
    <row r="49" spans="2:40" s="4" customFormat="1" ht="17.100000000000001" customHeight="1">
      <c r="B49" s="3" t="s">
        <v>89</v>
      </c>
      <c r="C49" s="71"/>
      <c r="D49"/>
      <c r="E49" s="71"/>
      <c r="F49" s="72"/>
      <c r="G49" s="72"/>
      <c r="H49"/>
      <c r="I49" s="71"/>
      <c r="J49" s="25"/>
      <c r="K49" s="24"/>
      <c r="L49" s="3"/>
      <c r="M49" s="73"/>
      <c r="N49" s="11"/>
      <c r="O49" s="24"/>
      <c r="P49" s="26"/>
      <c r="Q49" s="24"/>
      <c r="R49" s="4" t="s">
        <v>70</v>
      </c>
      <c r="S49" s="24" t="s">
        <v>44</v>
      </c>
      <c r="T49" s="4" t="s">
        <v>71</v>
      </c>
      <c r="V49" s="74"/>
      <c r="X49" s="74">
        <v>1</v>
      </c>
      <c r="Z49" s="74">
        <v>3</v>
      </c>
      <c r="AB49" s="74"/>
      <c r="AD49" s="74"/>
      <c r="AF49" s="74">
        <v>2</v>
      </c>
      <c r="AH49" s="74"/>
      <c r="AJ49" s="74"/>
    </row>
    <row r="50" spans="2:40" s="4" customFormat="1" ht="17.25" customHeight="1">
      <c r="B50" s="3" t="s">
        <v>89</v>
      </c>
      <c r="C50" s="71"/>
      <c r="D50"/>
      <c r="E50" s="71"/>
      <c r="F50" s="72"/>
      <c r="G50" s="72"/>
      <c r="H50"/>
      <c r="I50" s="71"/>
      <c r="J50" s="25"/>
      <c r="K50" s="24"/>
      <c r="L50" s="3"/>
      <c r="M50" s="73"/>
      <c r="N50" s="11"/>
      <c r="O50" s="24"/>
      <c r="P50" s="26"/>
      <c r="Q50" s="24"/>
      <c r="R50" s="4" t="s">
        <v>72</v>
      </c>
      <c r="S50" s="24" t="s">
        <v>44</v>
      </c>
      <c r="T50" s="4" t="s">
        <v>73</v>
      </c>
      <c r="V50" s="74"/>
      <c r="X50" s="74"/>
      <c r="Z50" s="74">
        <v>1</v>
      </c>
      <c r="AB50" s="74"/>
      <c r="AD50" s="74"/>
      <c r="AF50" s="74">
        <v>2</v>
      </c>
      <c r="AH50" s="74">
        <v>2</v>
      </c>
      <c r="AJ50" s="74"/>
    </row>
    <row r="51" spans="2:40" s="4" customFormat="1" ht="17.25" customHeight="1">
      <c r="B51" s="3" t="s">
        <v>89</v>
      </c>
      <c r="C51" s="71"/>
      <c r="D51"/>
      <c r="E51" s="71"/>
      <c r="F51" s="72"/>
      <c r="G51" s="72"/>
      <c r="H51"/>
      <c r="I51" s="71"/>
      <c r="J51" s="25"/>
      <c r="K51" s="24">
        <v>0</v>
      </c>
      <c r="L51" s="3"/>
      <c r="M51" s="73"/>
      <c r="N51" s="11"/>
      <c r="O51" s="24">
        <v>0</v>
      </c>
      <c r="P51" s="3"/>
      <c r="Q51" s="24"/>
      <c r="R51" s="4" t="s">
        <v>74</v>
      </c>
      <c r="S51" s="24" t="s">
        <v>44</v>
      </c>
      <c r="T51" s="4" t="s">
        <v>75</v>
      </c>
      <c r="V51" s="74"/>
      <c r="X51" s="74"/>
      <c r="Z51" s="74"/>
      <c r="AB51" s="74">
        <v>1</v>
      </c>
      <c r="AD51" s="74"/>
      <c r="AF51" s="74">
        <v>2</v>
      </c>
      <c r="AH51" s="74">
        <v>2</v>
      </c>
      <c r="AJ51" s="74">
        <v>2</v>
      </c>
    </row>
    <row r="52" spans="2:40" s="4" customFormat="1" ht="17.25" customHeight="1">
      <c r="B52" s="3" t="s">
        <v>89</v>
      </c>
      <c r="C52" s="71"/>
      <c r="D52"/>
      <c r="E52" s="71"/>
      <c r="F52" s="72"/>
      <c r="G52" s="72"/>
      <c r="H52"/>
      <c r="I52" s="71"/>
      <c r="J52" s="25"/>
      <c r="K52" s="24"/>
      <c r="L52" s="3"/>
      <c r="M52" s="73"/>
      <c r="N52" s="11"/>
      <c r="O52" s="24"/>
      <c r="P52" s="3"/>
      <c r="Q52" s="24"/>
      <c r="R52" s="4" t="s">
        <v>76</v>
      </c>
      <c r="S52" s="24" t="s">
        <v>44</v>
      </c>
      <c r="T52" s="4" t="s">
        <v>77</v>
      </c>
      <c r="V52" s="74"/>
      <c r="X52" s="74"/>
      <c r="Z52" s="74"/>
      <c r="AB52" s="74"/>
      <c r="AD52" s="74">
        <v>1</v>
      </c>
      <c r="AF52" s="74">
        <v>2</v>
      </c>
      <c r="AH52" s="74">
        <v>2</v>
      </c>
      <c r="AJ52" s="74">
        <v>2</v>
      </c>
      <c r="AN52" s="4" t="s">
        <v>78</v>
      </c>
    </row>
    <row r="53" spans="2:40" s="4" customFormat="1" ht="17.25" customHeight="1">
      <c r="B53" s="3" t="s">
        <v>89</v>
      </c>
      <c r="C53" s="71"/>
      <c r="D53"/>
      <c r="E53" s="71"/>
      <c r="F53" s="72"/>
      <c r="G53" s="72"/>
      <c r="H53"/>
      <c r="I53" s="71"/>
      <c r="J53" s="25"/>
      <c r="K53" s="24"/>
      <c r="L53" s="3"/>
      <c r="M53" s="73"/>
      <c r="N53" s="11"/>
      <c r="O53" s="24"/>
      <c r="P53" s="3"/>
      <c r="Q53" s="24"/>
      <c r="R53" s="40" t="s">
        <v>91</v>
      </c>
      <c r="S53" s="24" t="s">
        <v>92</v>
      </c>
      <c r="T53" s="4" t="s">
        <v>93</v>
      </c>
      <c r="V53" s="74"/>
      <c r="X53" s="74"/>
      <c r="Z53" s="74"/>
      <c r="AB53" s="74"/>
      <c r="AD53" s="74"/>
      <c r="AF53" s="74"/>
      <c r="AH53" s="74"/>
      <c r="AJ53" s="74"/>
    </row>
    <row r="54" spans="2:40" s="4" customFormat="1" ht="17.25" customHeight="1">
      <c r="B54" s="3" t="s">
        <v>89</v>
      </c>
      <c r="C54" s="71"/>
      <c r="D54"/>
      <c r="E54" s="71"/>
      <c r="F54" s="72"/>
      <c r="G54" s="72"/>
      <c r="H54"/>
      <c r="I54" s="71"/>
      <c r="J54" s="25"/>
      <c r="K54" s="24"/>
      <c r="L54" s="3"/>
      <c r="M54" s="73"/>
      <c r="N54" s="11"/>
      <c r="O54" s="24"/>
      <c r="P54" s="3"/>
      <c r="Q54" s="24"/>
      <c r="R54" s="40" t="s">
        <v>91</v>
      </c>
      <c r="S54" s="24" t="s">
        <v>92</v>
      </c>
      <c r="T54" s="4" t="s">
        <v>94</v>
      </c>
      <c r="V54" s="74"/>
      <c r="X54" s="74"/>
      <c r="Z54" s="74"/>
      <c r="AB54" s="74"/>
      <c r="AD54" s="74"/>
      <c r="AF54" s="74"/>
      <c r="AH54" s="74"/>
      <c r="AJ54" s="74"/>
    </row>
    <row r="55" spans="2:40" s="4" customFormat="1" ht="17.25" customHeight="1">
      <c r="B55" s="3" t="s">
        <v>89</v>
      </c>
      <c r="C55" s="71"/>
      <c r="D55"/>
      <c r="E55" s="71"/>
      <c r="F55" s="72"/>
      <c r="G55" s="72"/>
      <c r="H55"/>
      <c r="I55" s="71"/>
      <c r="J55" s="25"/>
      <c r="K55" s="24"/>
      <c r="L55" s="3"/>
      <c r="M55" s="73"/>
      <c r="N55" s="11"/>
      <c r="O55" s="24"/>
      <c r="P55" s="3"/>
      <c r="Q55" s="24"/>
      <c r="R55" s="40" t="s">
        <v>91</v>
      </c>
      <c r="S55" s="24" t="s">
        <v>92</v>
      </c>
      <c r="T55" s="4" t="s">
        <v>95</v>
      </c>
      <c r="V55" s="74"/>
      <c r="X55" s="74"/>
      <c r="Z55" s="74"/>
      <c r="AB55" s="74"/>
      <c r="AD55" s="74"/>
      <c r="AF55" s="74"/>
      <c r="AH55" s="74"/>
      <c r="AJ55" s="74"/>
    </row>
    <row r="56" spans="2:40" s="4" customFormat="1" ht="17.25" customHeight="1">
      <c r="B56" s="3" t="s">
        <v>96</v>
      </c>
      <c r="C56" s="71"/>
      <c r="D56"/>
      <c r="E56" s="71"/>
      <c r="F56" s="72"/>
      <c r="G56" s="72"/>
      <c r="H56"/>
      <c r="I56" s="71"/>
      <c r="J56" s="25"/>
      <c r="K56" s="24">
        <v>0</v>
      </c>
      <c r="L56" s="3"/>
      <c r="M56" s="73"/>
      <c r="N56" s="41" t="s">
        <v>91</v>
      </c>
      <c r="O56" s="42" t="str">
        <f t="shared" ref="O56:O92" si="0">IF(N56=0,,".")</f>
        <v>.</v>
      </c>
      <c r="P56" s="43" t="s">
        <v>97</v>
      </c>
      <c r="Q56" s="42"/>
      <c r="R56" s="44"/>
      <c r="S56" s="42"/>
      <c r="T56" s="44"/>
      <c r="V56" s="75"/>
      <c r="X56" s="75"/>
      <c r="Z56" s="75"/>
      <c r="AB56" s="75"/>
      <c r="AD56" s="75"/>
      <c r="AF56" s="75"/>
      <c r="AH56" s="75"/>
      <c r="AJ56" s="75"/>
      <c r="AL56" s="44"/>
      <c r="AN56" s="44"/>
    </row>
    <row r="57" spans="2:40" s="4" customFormat="1" ht="17.25" customHeight="1">
      <c r="B57" s="76" t="s">
        <v>98</v>
      </c>
      <c r="C57" s="77"/>
      <c r="D57" s="76" t="s">
        <v>40</v>
      </c>
      <c r="E57" s="77"/>
      <c r="F57" s="78" t="s">
        <v>99</v>
      </c>
      <c r="G57" s="78" t="str">
        <f>IF(F57=0,,".")</f>
        <v>.</v>
      </c>
      <c r="H57" s="76" t="s">
        <v>100</v>
      </c>
      <c r="I57" s="77"/>
      <c r="J57" s="54" t="s">
        <v>43</v>
      </c>
      <c r="K57" s="55" t="str">
        <f>IF(J57=0,,".")</f>
        <v>.</v>
      </c>
      <c r="L57" s="56" t="s">
        <v>101</v>
      </c>
      <c r="M57" s="79"/>
      <c r="N57" s="80" t="s">
        <v>43</v>
      </c>
      <c r="O57" s="81" t="str">
        <f t="shared" si="0"/>
        <v>.</v>
      </c>
      <c r="P57" s="82" t="s">
        <v>102</v>
      </c>
      <c r="Q57" s="81"/>
      <c r="R57" s="59"/>
      <c r="S57" s="81"/>
      <c r="T57" s="59"/>
      <c r="V57" s="83"/>
      <c r="X57" s="83">
        <v>1</v>
      </c>
      <c r="Z57" s="83">
        <v>3</v>
      </c>
      <c r="AB57" s="83"/>
      <c r="AD57" s="83"/>
      <c r="AF57" s="83">
        <v>2</v>
      </c>
      <c r="AH57" s="83"/>
      <c r="AJ57" s="83"/>
      <c r="AL57" s="59" t="s">
        <v>103</v>
      </c>
      <c r="AN57" s="59"/>
    </row>
    <row r="58" spans="2:40" s="4" customFormat="1" ht="17.25" customHeight="1">
      <c r="B58" s="3" t="s">
        <v>104</v>
      </c>
      <c r="C58" s="71"/>
      <c r="D58"/>
      <c r="E58" s="71"/>
      <c r="F58" s="72"/>
      <c r="G58" s="72"/>
      <c r="H58"/>
      <c r="I58" s="71"/>
      <c r="J58" s="25"/>
      <c r="K58" s="24"/>
      <c r="L58" s="3"/>
      <c r="M58" s="73"/>
      <c r="N58" s="31" t="s">
        <v>52</v>
      </c>
      <c r="O58" s="32" t="str">
        <f t="shared" si="0"/>
        <v>.</v>
      </c>
      <c r="P58" s="33" t="s">
        <v>105</v>
      </c>
      <c r="Q58" s="32"/>
      <c r="R58" s="30"/>
      <c r="S58" s="32"/>
      <c r="T58" s="30"/>
      <c r="V58" s="84"/>
      <c r="X58" s="84"/>
      <c r="Z58" s="84">
        <v>1</v>
      </c>
      <c r="AB58" s="84"/>
      <c r="AD58" s="84"/>
      <c r="AF58" s="84">
        <v>2</v>
      </c>
      <c r="AH58" s="84">
        <v>2</v>
      </c>
      <c r="AJ58" s="84"/>
      <c r="AL58" s="30" t="s">
        <v>103</v>
      </c>
      <c r="AN58" s="30"/>
    </row>
    <row r="59" spans="2:40" s="4" customFormat="1" ht="17.25" customHeight="1">
      <c r="B59" s="3" t="s">
        <v>106</v>
      </c>
      <c r="C59" s="71"/>
      <c r="D59"/>
      <c r="E59" s="71"/>
      <c r="F59" s="72"/>
      <c r="G59" s="72"/>
      <c r="H59"/>
      <c r="I59" s="71"/>
      <c r="J59" s="25"/>
      <c r="K59" s="24"/>
      <c r="L59" s="3"/>
      <c r="M59" s="73"/>
      <c r="N59" s="31" t="s">
        <v>61</v>
      </c>
      <c r="O59" s="32" t="str">
        <f t="shared" si="0"/>
        <v>.</v>
      </c>
      <c r="P59" s="33" t="s">
        <v>107</v>
      </c>
      <c r="Q59" s="32"/>
      <c r="R59" s="30"/>
      <c r="S59" s="32"/>
      <c r="T59" s="30"/>
      <c r="V59" s="84"/>
      <c r="X59" s="84"/>
      <c r="Z59" s="84"/>
      <c r="AB59" s="84">
        <v>1</v>
      </c>
      <c r="AD59" s="84"/>
      <c r="AF59" s="84">
        <v>2</v>
      </c>
      <c r="AH59" s="84">
        <v>2</v>
      </c>
      <c r="AJ59" s="84">
        <v>2</v>
      </c>
      <c r="AL59" s="30" t="s">
        <v>108</v>
      </c>
      <c r="AN59" s="30"/>
    </row>
    <row r="60" spans="2:40" s="4" customFormat="1" ht="17.25" customHeight="1">
      <c r="B60" s="3" t="s">
        <v>109</v>
      </c>
      <c r="C60" s="71"/>
      <c r="D60"/>
      <c r="E60" s="71"/>
      <c r="F60" s="72"/>
      <c r="G60" s="72"/>
      <c r="H60"/>
      <c r="I60" s="71"/>
      <c r="J60" s="25"/>
      <c r="K60" s="24"/>
      <c r="L60" s="3"/>
      <c r="M60" s="73"/>
      <c r="N60" s="31" t="s">
        <v>110</v>
      </c>
      <c r="O60" s="32" t="str">
        <f t="shared" si="0"/>
        <v>.</v>
      </c>
      <c r="P60" s="33" t="s">
        <v>111</v>
      </c>
      <c r="Q60" s="32"/>
      <c r="R60" s="30"/>
      <c r="S60" s="32"/>
      <c r="T60" s="30"/>
      <c r="V60" s="84"/>
      <c r="X60" s="84"/>
      <c r="Z60" s="84"/>
      <c r="AB60" s="84"/>
      <c r="AD60" s="84">
        <v>1</v>
      </c>
      <c r="AF60" s="84">
        <v>2</v>
      </c>
      <c r="AH60" s="84">
        <v>2</v>
      </c>
      <c r="AJ60" s="84">
        <v>2</v>
      </c>
      <c r="AL60" s="30" t="s">
        <v>108</v>
      </c>
      <c r="AN60" s="30" t="s">
        <v>78</v>
      </c>
    </row>
    <row r="61" spans="2:40" s="4" customFormat="1" ht="17.25" customHeight="1">
      <c r="B61" s="3" t="s">
        <v>112</v>
      </c>
      <c r="C61" s="71"/>
      <c r="D61"/>
      <c r="E61" s="71"/>
      <c r="F61" s="72"/>
      <c r="G61" s="72"/>
      <c r="H61"/>
      <c r="I61" s="71"/>
      <c r="J61" s="34"/>
      <c r="K61" s="35"/>
      <c r="L61" s="36"/>
      <c r="M61" s="85"/>
      <c r="N61" s="37" t="s">
        <v>91</v>
      </c>
      <c r="O61" s="35" t="str">
        <f t="shared" si="0"/>
        <v>.</v>
      </c>
      <c r="P61" s="36" t="s">
        <v>113</v>
      </c>
      <c r="Q61" s="35"/>
      <c r="R61" s="39"/>
      <c r="S61" s="35"/>
      <c r="T61" s="39"/>
      <c r="V61" s="86"/>
      <c r="X61" s="86"/>
      <c r="Z61" s="86"/>
      <c r="AB61" s="86"/>
      <c r="AD61" s="86"/>
      <c r="AF61" s="86"/>
      <c r="AH61" s="86"/>
      <c r="AJ61" s="86"/>
      <c r="AL61" s="39"/>
      <c r="AN61" s="39"/>
    </row>
    <row r="62" spans="2:40" s="4" customFormat="1" ht="17.25" customHeight="1">
      <c r="B62" s="3" t="s">
        <v>114</v>
      </c>
      <c r="C62" s="71"/>
      <c r="D62"/>
      <c r="E62" s="71"/>
      <c r="F62" s="72"/>
      <c r="G62" s="72"/>
      <c r="H62"/>
      <c r="I62" s="71"/>
      <c r="J62" s="54" t="s">
        <v>52</v>
      </c>
      <c r="K62" s="55" t="str">
        <f>IF(J62=0,,".")</f>
        <v>.</v>
      </c>
      <c r="L62" s="56" t="s">
        <v>115</v>
      </c>
      <c r="M62" s="79"/>
      <c r="N62" s="80" t="s">
        <v>43</v>
      </c>
      <c r="O62" s="81" t="str">
        <f t="shared" si="0"/>
        <v>.</v>
      </c>
      <c r="P62" s="82" t="s">
        <v>102</v>
      </c>
      <c r="Q62" s="81"/>
      <c r="R62" s="59"/>
      <c r="S62" s="81"/>
      <c r="T62" s="59"/>
      <c r="V62" s="83">
        <v>1</v>
      </c>
      <c r="X62" s="83"/>
      <c r="Z62" s="83"/>
      <c r="AB62" s="83"/>
      <c r="AD62" s="83"/>
      <c r="AF62" s="83">
        <v>3</v>
      </c>
      <c r="AH62" s="83"/>
      <c r="AJ62" s="83"/>
      <c r="AL62" s="59" t="s">
        <v>103</v>
      </c>
      <c r="AN62" s="59"/>
    </row>
    <row r="63" spans="2:40" s="4" customFormat="1" ht="17.25" customHeight="1">
      <c r="B63" s="3" t="s">
        <v>116</v>
      </c>
      <c r="C63" s="71"/>
      <c r="D63"/>
      <c r="E63" s="71"/>
      <c r="F63" s="72"/>
      <c r="G63" s="72"/>
      <c r="H63"/>
      <c r="I63" s="71"/>
      <c r="J63" s="25"/>
      <c r="K63" s="24"/>
      <c r="L63" s="3"/>
      <c r="M63" s="73"/>
      <c r="N63" s="31" t="s">
        <v>52</v>
      </c>
      <c r="O63" s="32" t="str">
        <f t="shared" si="0"/>
        <v>.</v>
      </c>
      <c r="P63" s="33" t="s">
        <v>105</v>
      </c>
      <c r="Q63" s="32"/>
      <c r="R63" s="30"/>
      <c r="S63" s="32"/>
      <c r="T63" s="30"/>
      <c r="V63" s="84"/>
      <c r="X63" s="84">
        <v>1</v>
      </c>
      <c r="Z63" s="84"/>
      <c r="AB63" s="84"/>
      <c r="AD63" s="84"/>
      <c r="AF63" s="84">
        <v>2</v>
      </c>
      <c r="AH63" s="84"/>
      <c r="AJ63" s="84"/>
      <c r="AL63" s="30" t="s">
        <v>103</v>
      </c>
      <c r="AN63" s="30"/>
    </row>
    <row r="64" spans="2:40" s="4" customFormat="1" ht="17.25" customHeight="1">
      <c r="B64" s="3" t="s">
        <v>117</v>
      </c>
      <c r="C64" s="71"/>
      <c r="D64"/>
      <c r="E64" s="71"/>
      <c r="F64" s="72"/>
      <c r="G64" s="72"/>
      <c r="H64"/>
      <c r="I64" s="71"/>
      <c r="J64" s="25"/>
      <c r="K64" s="24"/>
      <c r="L64" s="3"/>
      <c r="M64" s="73"/>
      <c r="N64" s="31" t="s">
        <v>61</v>
      </c>
      <c r="O64" s="32" t="str">
        <f t="shared" si="0"/>
        <v>.</v>
      </c>
      <c r="P64" s="33" t="s">
        <v>107</v>
      </c>
      <c r="Q64" s="32"/>
      <c r="R64" s="30"/>
      <c r="S64" s="32"/>
      <c r="T64" s="30"/>
      <c r="V64" s="84"/>
      <c r="X64" s="84"/>
      <c r="Z64" s="84">
        <v>1</v>
      </c>
      <c r="AB64" s="84"/>
      <c r="AD64" s="84"/>
      <c r="AF64" s="84">
        <v>2</v>
      </c>
      <c r="AH64" s="84">
        <v>2</v>
      </c>
      <c r="AJ64" s="84"/>
      <c r="AL64" s="30" t="s">
        <v>108</v>
      </c>
      <c r="AN64" s="30"/>
    </row>
    <row r="65" spans="2:40" s="4" customFormat="1" ht="17.25" customHeight="1">
      <c r="B65" s="3" t="s">
        <v>118</v>
      </c>
      <c r="C65" s="71"/>
      <c r="D65"/>
      <c r="E65" s="71"/>
      <c r="F65" s="72"/>
      <c r="G65" s="72"/>
      <c r="H65"/>
      <c r="I65" s="71"/>
      <c r="J65" s="25"/>
      <c r="K65" s="24"/>
      <c r="L65" s="3"/>
      <c r="M65" s="73"/>
      <c r="N65" s="41" t="s">
        <v>110</v>
      </c>
      <c r="O65" s="42" t="str">
        <f t="shared" si="0"/>
        <v>.</v>
      </c>
      <c r="P65" s="43" t="s">
        <v>111</v>
      </c>
      <c r="Q65" s="42"/>
      <c r="R65" s="44"/>
      <c r="S65" s="42"/>
      <c r="T65" s="44"/>
      <c r="V65" s="84"/>
      <c r="X65" s="84"/>
      <c r="Z65" s="84"/>
      <c r="AB65" s="84">
        <v>1</v>
      </c>
      <c r="AD65" s="84"/>
      <c r="AF65" s="84">
        <v>2</v>
      </c>
      <c r="AH65" s="84">
        <v>2</v>
      </c>
      <c r="AJ65" s="84">
        <v>2</v>
      </c>
      <c r="AL65" s="30" t="s">
        <v>108</v>
      </c>
      <c r="AN65" s="30"/>
    </row>
    <row r="66" spans="2:40" s="4" customFormat="1" ht="18.95">
      <c r="B66" t="s">
        <v>119</v>
      </c>
      <c r="C66" s="71"/>
      <c r="D66"/>
      <c r="E66" s="71"/>
      <c r="F66" s="72"/>
      <c r="G66" s="72"/>
      <c r="H66"/>
      <c r="I66" s="71"/>
      <c r="J66" s="49" t="s">
        <v>61</v>
      </c>
      <c r="K66" s="50" t="str">
        <f>IF(J66=0,,".")</f>
        <v>.</v>
      </c>
      <c r="L66" s="51" t="s">
        <v>120</v>
      </c>
      <c r="M66" s="87"/>
      <c r="N66" s="52" t="s">
        <v>43</v>
      </c>
      <c r="O66" s="50" t="str">
        <f t="shared" si="0"/>
        <v>.</v>
      </c>
      <c r="P66" s="51" t="s">
        <v>121</v>
      </c>
      <c r="Q66" s="50"/>
      <c r="R66" s="53"/>
      <c r="S66" s="50"/>
      <c r="T66" s="53"/>
      <c r="V66" s="83"/>
      <c r="X66" s="83">
        <v>1</v>
      </c>
      <c r="Z66" s="83">
        <v>3</v>
      </c>
      <c r="AB66" s="83"/>
      <c r="AD66" s="83"/>
      <c r="AF66" s="83">
        <v>2</v>
      </c>
      <c r="AH66" s="83"/>
      <c r="AJ66" s="83"/>
      <c r="AL66" s="59"/>
      <c r="AN66" s="59" t="s">
        <v>122</v>
      </c>
    </row>
    <row r="67" spans="2:40" s="4" customFormat="1" ht="18.95">
      <c r="B67" t="s">
        <v>123</v>
      </c>
      <c r="C67" s="71"/>
      <c r="D67"/>
      <c r="E67" s="71"/>
      <c r="F67" s="72"/>
      <c r="G67" s="72"/>
      <c r="H67"/>
      <c r="I67" s="71"/>
      <c r="J67" s="54" t="s">
        <v>110</v>
      </c>
      <c r="K67" s="55" t="str">
        <f>IF(J67=0,,".")</f>
        <v>.</v>
      </c>
      <c r="L67" s="56" t="s">
        <v>124</v>
      </c>
      <c r="M67" s="79"/>
      <c r="N67" s="80" t="s">
        <v>43</v>
      </c>
      <c r="O67" s="81" t="str">
        <f t="shared" si="0"/>
        <v>.</v>
      </c>
      <c r="P67" s="82" t="s">
        <v>121</v>
      </c>
      <c r="Q67" s="81"/>
      <c r="R67" s="59"/>
      <c r="S67" s="81"/>
      <c r="T67" s="59"/>
      <c r="V67" s="83"/>
      <c r="X67" s="83">
        <v>1</v>
      </c>
      <c r="Z67" s="83">
        <v>3</v>
      </c>
      <c r="AB67" s="83"/>
      <c r="AD67" s="83"/>
      <c r="AF67" s="83">
        <v>2</v>
      </c>
      <c r="AH67" s="83"/>
      <c r="AJ67" s="83"/>
      <c r="AL67" s="59"/>
      <c r="AN67" s="59" t="s">
        <v>125</v>
      </c>
    </row>
    <row r="68" spans="2:40" s="4" customFormat="1" ht="18.95">
      <c r="B68" t="s">
        <v>126</v>
      </c>
      <c r="C68" s="71"/>
      <c r="D68"/>
      <c r="E68" s="71"/>
      <c r="F68" s="72"/>
      <c r="G68" s="72"/>
      <c r="H68"/>
      <c r="I68" s="71"/>
      <c r="J68" s="54" t="s">
        <v>127</v>
      </c>
      <c r="K68" s="55" t="str">
        <f t="shared" ref="K68:K142" si="1">IF(J68=0,,".")</f>
        <v>.</v>
      </c>
      <c r="L68" s="56" t="s">
        <v>128</v>
      </c>
      <c r="M68" s="113"/>
      <c r="N68" s="80" t="s">
        <v>43</v>
      </c>
      <c r="O68" s="81" t="str">
        <f t="shared" si="0"/>
        <v>.</v>
      </c>
      <c r="P68" s="82" t="s">
        <v>102</v>
      </c>
      <c r="Q68" s="81"/>
      <c r="R68" s="59"/>
      <c r="S68" s="81"/>
      <c r="T68" s="59"/>
      <c r="V68" s="83"/>
      <c r="X68" s="83">
        <v>1</v>
      </c>
      <c r="Z68" s="83"/>
      <c r="AB68" s="83"/>
      <c r="AD68" s="83"/>
      <c r="AF68" s="83">
        <v>3</v>
      </c>
      <c r="AH68" s="83"/>
      <c r="AJ68" s="83"/>
      <c r="AL68" s="59" t="s">
        <v>129</v>
      </c>
      <c r="AN68" s="59"/>
    </row>
    <row r="69" spans="2:40" s="4" customFormat="1" ht="18.95">
      <c r="B69" t="s">
        <v>130</v>
      </c>
      <c r="C69" s="71"/>
      <c r="D69"/>
      <c r="E69" s="71"/>
      <c r="F69" s="72"/>
      <c r="G69" s="72"/>
      <c r="H69"/>
      <c r="I69" s="71"/>
      <c r="J69" s="25"/>
      <c r="K69" s="24"/>
      <c r="L69" s="3"/>
      <c r="M69" s="110"/>
      <c r="N69" s="31" t="s">
        <v>52</v>
      </c>
      <c r="O69" s="32" t="str">
        <f t="shared" si="0"/>
        <v>.</v>
      </c>
      <c r="P69" s="33" t="s">
        <v>105</v>
      </c>
      <c r="Q69" s="32"/>
      <c r="R69" s="30"/>
      <c r="S69" s="32"/>
      <c r="T69" s="30"/>
      <c r="V69" s="84"/>
      <c r="X69" s="84"/>
      <c r="Z69" s="84">
        <v>1</v>
      </c>
      <c r="AB69" s="84"/>
      <c r="AD69" s="84"/>
      <c r="AF69" s="84">
        <v>3</v>
      </c>
      <c r="AH69" s="84">
        <v>2</v>
      </c>
      <c r="AJ69" s="84"/>
      <c r="AL69" s="30" t="s">
        <v>131</v>
      </c>
      <c r="AN69" s="30"/>
    </row>
    <row r="70" spans="2:40" s="4" customFormat="1" ht="18.95">
      <c r="B70" t="s">
        <v>132</v>
      </c>
      <c r="C70" s="71"/>
      <c r="D70"/>
      <c r="E70" s="71"/>
      <c r="F70" s="72"/>
      <c r="G70" s="72"/>
      <c r="H70"/>
      <c r="I70" s="71"/>
      <c r="J70" s="34"/>
      <c r="K70" s="35"/>
      <c r="L70" s="36"/>
      <c r="M70" s="114"/>
      <c r="N70" s="45" t="s">
        <v>61</v>
      </c>
      <c r="O70" s="46" t="str">
        <f t="shared" si="0"/>
        <v>.</v>
      </c>
      <c r="P70" s="62" t="s">
        <v>133</v>
      </c>
      <c r="Q70" s="46"/>
      <c r="R70" s="47"/>
      <c r="S70" s="46"/>
      <c r="T70" s="47"/>
      <c r="V70" s="88"/>
      <c r="X70" s="88"/>
      <c r="Z70" s="88"/>
      <c r="AB70" s="88">
        <v>1</v>
      </c>
      <c r="AD70" s="88"/>
      <c r="AF70" s="88">
        <v>2</v>
      </c>
      <c r="AH70" s="88">
        <v>2</v>
      </c>
      <c r="AJ70" s="88">
        <v>2</v>
      </c>
      <c r="AL70" s="47" t="s">
        <v>134</v>
      </c>
      <c r="AN70" s="47"/>
    </row>
    <row r="71" spans="2:40" s="4" customFormat="1" ht="18.95">
      <c r="B71" t="s">
        <v>135</v>
      </c>
      <c r="C71" s="71"/>
      <c r="D71"/>
      <c r="E71" s="71"/>
      <c r="F71" s="72"/>
      <c r="G71" s="72"/>
      <c r="H71"/>
      <c r="I71" s="71"/>
      <c r="J71" s="25" t="s">
        <v>136</v>
      </c>
      <c r="K71" s="24" t="str">
        <f t="shared" si="1"/>
        <v>.</v>
      </c>
      <c r="L71" s="3" t="s">
        <v>137</v>
      </c>
      <c r="M71" s="73"/>
      <c r="N71" s="57" t="s">
        <v>43</v>
      </c>
      <c r="O71" s="55" t="str">
        <f t="shared" si="0"/>
        <v>.</v>
      </c>
      <c r="P71" s="56" t="s">
        <v>138</v>
      </c>
      <c r="Q71" s="55"/>
      <c r="R71" s="58"/>
      <c r="S71" s="55"/>
      <c r="T71" s="58"/>
      <c r="V71" s="89"/>
      <c r="X71" s="89"/>
      <c r="Z71" s="89"/>
      <c r="AB71" s="89"/>
      <c r="AD71" s="89"/>
      <c r="AF71" s="89"/>
      <c r="AH71" s="89"/>
      <c r="AJ71" s="89"/>
      <c r="AL71" s="58"/>
      <c r="AN71" s="58"/>
    </row>
    <row r="72" spans="2:40" s="4" customFormat="1" ht="18.95">
      <c r="B72" t="s">
        <v>139</v>
      </c>
      <c r="C72" s="71"/>
      <c r="D72"/>
      <c r="E72" s="71"/>
      <c r="F72" s="72"/>
      <c r="G72" s="72"/>
      <c r="H72"/>
      <c r="I72" s="71"/>
      <c r="J72" s="25"/>
      <c r="K72" s="24"/>
      <c r="L72" s="3"/>
      <c r="M72" s="73"/>
      <c r="N72" s="11"/>
      <c r="O72" s="24"/>
      <c r="P72" s="26" t="s">
        <v>49</v>
      </c>
      <c r="Q72" s="24"/>
      <c r="R72" s="4" t="s">
        <v>105</v>
      </c>
      <c r="S72" s="24"/>
      <c r="V72" s="74"/>
      <c r="X72" s="74"/>
      <c r="Z72" s="74">
        <v>1</v>
      </c>
      <c r="AB72" s="74"/>
      <c r="AD72" s="74"/>
      <c r="AF72" s="74">
        <v>2</v>
      </c>
      <c r="AH72" s="74"/>
      <c r="AJ72" s="74"/>
      <c r="AL72" s="4" t="s">
        <v>140</v>
      </c>
    </row>
    <row r="73" spans="2:40" s="4" customFormat="1" ht="18.95">
      <c r="B73" t="s">
        <v>141</v>
      </c>
      <c r="C73" s="71"/>
      <c r="D73"/>
      <c r="E73" s="71"/>
      <c r="F73" s="72"/>
      <c r="G73" s="72"/>
      <c r="H73"/>
      <c r="I73" s="71"/>
      <c r="J73" s="25"/>
      <c r="K73" s="24"/>
      <c r="L73" s="3"/>
      <c r="M73" s="73"/>
      <c r="N73" s="27"/>
      <c r="O73" s="28"/>
      <c r="P73" s="29" t="s">
        <v>58</v>
      </c>
      <c r="Q73" s="28"/>
      <c r="R73" s="6" t="s">
        <v>133</v>
      </c>
      <c r="S73" s="28"/>
      <c r="T73" s="6"/>
      <c r="V73" s="90"/>
      <c r="X73" s="90"/>
      <c r="Z73" s="90"/>
      <c r="AB73" s="90">
        <v>1</v>
      </c>
      <c r="AD73" s="90"/>
      <c r="AF73" s="90">
        <v>2</v>
      </c>
      <c r="AH73" s="90">
        <v>2</v>
      </c>
      <c r="AJ73" s="90"/>
      <c r="AL73" s="6" t="s">
        <v>140</v>
      </c>
      <c r="AN73" s="6"/>
    </row>
    <row r="74" spans="2:40" s="4" customFormat="1" ht="18.95">
      <c r="B74" t="s">
        <v>142</v>
      </c>
      <c r="C74" s="71"/>
      <c r="D74"/>
      <c r="E74" s="71"/>
      <c r="F74" s="72"/>
      <c r="G74" s="72"/>
      <c r="H74"/>
      <c r="I74" s="71"/>
      <c r="J74" s="25"/>
      <c r="K74" s="24"/>
      <c r="L74" s="3"/>
      <c r="M74" s="73"/>
      <c r="N74" s="41" t="s">
        <v>52</v>
      </c>
      <c r="O74" s="42" t="str">
        <f t="shared" si="0"/>
        <v>.</v>
      </c>
      <c r="P74" s="43" t="s">
        <v>143</v>
      </c>
      <c r="Q74" s="42"/>
      <c r="R74" s="44"/>
      <c r="S74" s="42"/>
      <c r="T74" s="44"/>
      <c r="V74" s="75"/>
      <c r="X74" s="75"/>
      <c r="Z74" s="75"/>
      <c r="AB74" s="75"/>
      <c r="AD74" s="75"/>
      <c r="AF74" s="75"/>
      <c r="AH74" s="75"/>
      <c r="AJ74" s="75"/>
      <c r="AL74" s="44"/>
      <c r="AN74" s="44"/>
    </row>
    <row r="75" spans="2:40" s="4" customFormat="1" ht="18.95">
      <c r="B75" t="s">
        <v>144</v>
      </c>
      <c r="C75" s="71"/>
      <c r="D75"/>
      <c r="E75" s="71"/>
      <c r="F75" s="72"/>
      <c r="G75" s="72"/>
      <c r="H75"/>
      <c r="I75" s="71"/>
      <c r="J75" s="25"/>
      <c r="K75" s="24"/>
      <c r="L75" s="3"/>
      <c r="M75" s="73"/>
      <c r="N75" s="11"/>
      <c r="O75" s="24"/>
      <c r="P75" s="26" t="s">
        <v>49</v>
      </c>
      <c r="Q75" s="24"/>
      <c r="R75" s="4" t="s">
        <v>145</v>
      </c>
      <c r="S75" s="24"/>
      <c r="V75" s="74"/>
      <c r="X75" s="74"/>
      <c r="Z75" s="74"/>
      <c r="AB75" s="74">
        <v>1</v>
      </c>
      <c r="AD75" s="74"/>
      <c r="AF75" s="74">
        <v>2</v>
      </c>
      <c r="AH75" s="74">
        <v>2</v>
      </c>
      <c r="AJ75" s="74">
        <v>2</v>
      </c>
      <c r="AL75" s="115" t="s">
        <v>146</v>
      </c>
    </row>
    <row r="76" spans="2:40" s="4" customFormat="1" ht="18.95">
      <c r="B76" t="s">
        <v>147</v>
      </c>
      <c r="C76" s="71"/>
      <c r="D76"/>
      <c r="E76" s="71"/>
      <c r="F76" s="72"/>
      <c r="G76" s="72"/>
      <c r="H76"/>
      <c r="I76" s="71"/>
      <c r="J76" s="25"/>
      <c r="K76" s="24"/>
      <c r="L76" s="3"/>
      <c r="M76" s="73"/>
      <c r="N76" s="11"/>
      <c r="O76" s="24"/>
      <c r="P76" s="26" t="s">
        <v>58</v>
      </c>
      <c r="Q76" s="24"/>
      <c r="R76" s="4" t="s">
        <v>148</v>
      </c>
      <c r="S76" s="24"/>
      <c r="V76" s="74"/>
      <c r="X76" s="74"/>
      <c r="Z76" s="74"/>
      <c r="AB76" s="74"/>
      <c r="AD76" s="74">
        <v>1</v>
      </c>
      <c r="AF76" s="74">
        <v>2</v>
      </c>
      <c r="AH76" s="74">
        <v>2</v>
      </c>
      <c r="AJ76" s="74">
        <v>2</v>
      </c>
      <c r="AL76" s="4" t="s">
        <v>149</v>
      </c>
    </row>
    <row r="77" spans="2:40" s="4" customFormat="1" ht="18.95">
      <c r="B77" t="s">
        <v>150</v>
      </c>
      <c r="C77" s="71"/>
      <c r="D77"/>
      <c r="E77" s="71"/>
      <c r="F77" s="72"/>
      <c r="G77" s="72"/>
      <c r="H77"/>
      <c r="I77" s="71"/>
      <c r="J77" s="25"/>
      <c r="K77" s="24"/>
      <c r="L77" s="3"/>
      <c r="M77" s="73"/>
      <c r="N77" s="11"/>
      <c r="O77" s="24"/>
      <c r="P77" s="26" t="s">
        <v>87</v>
      </c>
      <c r="Q77" s="24"/>
      <c r="R77" s="4" t="s">
        <v>151</v>
      </c>
      <c r="S77" s="24"/>
      <c r="V77" s="74"/>
      <c r="X77" s="74"/>
      <c r="Z77" s="74">
        <v>1</v>
      </c>
      <c r="AB77" s="74"/>
      <c r="AD77" s="74"/>
      <c r="AF77" s="74"/>
      <c r="AH77" s="74"/>
      <c r="AJ77" s="74"/>
      <c r="AL77" s="4" t="s">
        <v>152</v>
      </c>
      <c r="AN77" s="4" t="s">
        <v>153</v>
      </c>
    </row>
    <row r="78" spans="2:40" s="4" customFormat="1" ht="18.95">
      <c r="B78" t="s">
        <v>154</v>
      </c>
      <c r="C78" s="71"/>
      <c r="D78"/>
      <c r="E78" s="71"/>
      <c r="F78" s="91"/>
      <c r="G78" s="91"/>
      <c r="H78" s="92"/>
      <c r="I78" s="93"/>
      <c r="J78" s="34"/>
      <c r="K78" s="35">
        <f t="shared" si="1"/>
        <v>0</v>
      </c>
      <c r="L78" s="36"/>
      <c r="M78" s="85"/>
      <c r="N78" s="45" t="s">
        <v>61</v>
      </c>
      <c r="O78" s="46" t="str">
        <f t="shared" si="0"/>
        <v>.</v>
      </c>
      <c r="P78" s="62" t="s">
        <v>155</v>
      </c>
      <c r="Q78" s="46"/>
      <c r="R78" s="62"/>
      <c r="S78" s="46"/>
      <c r="T78" s="47"/>
      <c r="V78" s="88"/>
      <c r="X78" s="88"/>
      <c r="Z78" s="88"/>
      <c r="AB78" s="88"/>
      <c r="AD78" s="88">
        <v>1</v>
      </c>
      <c r="AF78" s="88">
        <v>2</v>
      </c>
      <c r="AH78" s="88">
        <v>2</v>
      </c>
      <c r="AJ78" s="88">
        <v>2</v>
      </c>
      <c r="AL78" s="47"/>
      <c r="AN78" s="47"/>
    </row>
    <row r="79" spans="2:40" s="4" customFormat="1" ht="18.95">
      <c r="B79" t="s">
        <v>156</v>
      </c>
      <c r="C79" s="71"/>
      <c r="D79"/>
      <c r="E79" s="71"/>
      <c r="F79" s="72" t="s">
        <v>157</v>
      </c>
      <c r="G79" s="72" t="str">
        <f t="shared" ref="G79:G89" si="2">IF(F79=0,,".")</f>
        <v>.</v>
      </c>
      <c r="H79" t="s">
        <v>158</v>
      </c>
      <c r="I79" s="71"/>
      <c r="J79" s="25" t="s">
        <v>43</v>
      </c>
      <c r="K79" s="24" t="str">
        <f t="shared" si="1"/>
        <v>.</v>
      </c>
      <c r="L79" s="3" t="s">
        <v>159</v>
      </c>
      <c r="M79" s="73"/>
      <c r="N79" s="94" t="s">
        <v>43</v>
      </c>
      <c r="O79" s="28" t="str">
        <f t="shared" si="0"/>
        <v>.</v>
      </c>
      <c r="P79" s="82" t="s">
        <v>160</v>
      </c>
      <c r="Q79" s="81"/>
      <c r="R79" s="59"/>
      <c r="S79" s="81"/>
      <c r="T79" s="59"/>
      <c r="V79" s="83"/>
      <c r="X79" s="83">
        <v>1</v>
      </c>
      <c r="Z79" s="83"/>
      <c r="AB79" s="83"/>
      <c r="AD79" s="83"/>
      <c r="AF79" s="83">
        <v>3</v>
      </c>
      <c r="AH79" s="83"/>
      <c r="AJ79" s="83"/>
      <c r="AL79" s="59" t="s">
        <v>161</v>
      </c>
      <c r="AN79" s="59"/>
    </row>
    <row r="80" spans="2:40" s="4" customFormat="1" ht="18.95">
      <c r="B80" t="s">
        <v>162</v>
      </c>
      <c r="C80" s="71"/>
      <c r="D80"/>
      <c r="E80" s="71"/>
      <c r="F80" s="72"/>
      <c r="G80" s="72"/>
      <c r="H80" s="3" t="s">
        <v>163</v>
      </c>
      <c r="I80" s="71"/>
      <c r="J80" s="25"/>
      <c r="K80" s="24">
        <f t="shared" si="1"/>
        <v>0</v>
      </c>
      <c r="L80" s="3"/>
      <c r="M80" s="73"/>
      <c r="N80" s="60" t="s">
        <v>52</v>
      </c>
      <c r="O80" s="32" t="str">
        <f t="shared" si="0"/>
        <v>.</v>
      </c>
      <c r="P80" s="33" t="s">
        <v>164</v>
      </c>
      <c r="Q80" s="32"/>
      <c r="R80" s="30"/>
      <c r="S80" s="32"/>
      <c r="T80" s="30"/>
      <c r="V80" s="84"/>
      <c r="X80" s="84">
        <v>1</v>
      </c>
      <c r="Z80" s="84"/>
      <c r="AB80" s="84"/>
      <c r="AD80" s="84"/>
      <c r="AF80" s="84">
        <v>3</v>
      </c>
      <c r="AH80" s="84"/>
      <c r="AJ80" s="84"/>
      <c r="AL80" s="6" t="s">
        <v>161</v>
      </c>
      <c r="AN80" s="30" t="s">
        <v>165</v>
      </c>
    </row>
    <row r="81" spans="2:40" s="4" customFormat="1" ht="18.95">
      <c r="B81" t="s">
        <v>166</v>
      </c>
      <c r="C81" s="71"/>
      <c r="D81"/>
      <c r="E81" s="71"/>
      <c r="F81" s="72"/>
      <c r="G81" s="72"/>
      <c r="H81"/>
      <c r="I81" s="71"/>
      <c r="J81" s="37"/>
      <c r="K81" s="35">
        <f t="shared" si="1"/>
        <v>0</v>
      </c>
      <c r="L81" s="34"/>
      <c r="M81" s="85"/>
      <c r="N81" s="95" t="s">
        <v>61</v>
      </c>
      <c r="O81" s="46" t="str">
        <f t="shared" si="0"/>
        <v>.</v>
      </c>
      <c r="P81" s="62" t="s">
        <v>167</v>
      </c>
      <c r="Q81" s="62"/>
      <c r="R81" s="88"/>
      <c r="S81" s="96"/>
      <c r="T81" s="88"/>
      <c r="V81" s="88"/>
      <c r="X81" s="88">
        <v>1</v>
      </c>
      <c r="Z81" s="88"/>
      <c r="AB81" s="48"/>
      <c r="AD81" s="88"/>
      <c r="AF81" s="88">
        <v>3</v>
      </c>
      <c r="AH81" s="88"/>
      <c r="AJ81" s="88"/>
      <c r="AL81" s="39" t="s">
        <v>161</v>
      </c>
      <c r="AN81" s="47"/>
    </row>
    <row r="82" spans="2:40" s="4" customFormat="1" ht="18.95">
      <c r="B82" t="s">
        <v>168</v>
      </c>
      <c r="C82" s="71"/>
      <c r="D82"/>
      <c r="E82" s="71"/>
      <c r="F82" s="72"/>
      <c r="G82" s="72"/>
      <c r="H82"/>
      <c r="I82" s="71"/>
      <c r="J82" s="49" t="s">
        <v>52</v>
      </c>
      <c r="K82" s="50" t="str">
        <f t="shared" si="1"/>
        <v>.</v>
      </c>
      <c r="L82" s="51" t="s">
        <v>169</v>
      </c>
      <c r="M82" s="87"/>
      <c r="N82" s="97" t="s">
        <v>43</v>
      </c>
      <c r="O82" s="50" t="str">
        <f t="shared" si="0"/>
        <v>.</v>
      </c>
      <c r="P82" s="51" t="s">
        <v>170</v>
      </c>
      <c r="Q82" s="50"/>
      <c r="R82" s="53"/>
      <c r="S82" s="50"/>
      <c r="T82" s="53"/>
      <c r="V82" s="98"/>
      <c r="X82" s="98">
        <v>1</v>
      </c>
      <c r="Z82" s="98"/>
      <c r="AB82" s="98"/>
      <c r="AD82" s="98"/>
      <c r="AF82" s="98">
        <v>3</v>
      </c>
      <c r="AH82" s="98">
        <v>3</v>
      </c>
      <c r="AJ82" s="98">
        <v>3</v>
      </c>
      <c r="AL82" s="53" t="s">
        <v>161</v>
      </c>
      <c r="AN82" s="53"/>
    </row>
    <row r="83" spans="2:40" s="4" customFormat="1" ht="18.95">
      <c r="B83" t="s">
        <v>171</v>
      </c>
      <c r="C83" s="71"/>
      <c r="D83"/>
      <c r="E83" s="71"/>
      <c r="F83" s="72"/>
      <c r="G83" s="72"/>
      <c r="H83"/>
      <c r="I83" s="71"/>
      <c r="J83" s="25" t="s">
        <v>61</v>
      </c>
      <c r="K83" s="24" t="str">
        <f t="shared" si="1"/>
        <v>.</v>
      </c>
      <c r="L83" s="3" t="s">
        <v>172</v>
      </c>
      <c r="M83" s="73"/>
      <c r="N83" s="94" t="s">
        <v>43</v>
      </c>
      <c r="O83" s="28" t="str">
        <f t="shared" si="0"/>
        <v>.</v>
      </c>
      <c r="P83" s="59" t="s">
        <v>173</v>
      </c>
      <c r="Q83" s="81"/>
      <c r="R83" s="59"/>
      <c r="S83" s="81"/>
      <c r="T83" s="59"/>
      <c r="V83" s="83"/>
      <c r="X83" s="83">
        <v>1</v>
      </c>
      <c r="Z83" s="83"/>
      <c r="AB83" s="83"/>
      <c r="AD83" s="83"/>
      <c r="AF83" s="83">
        <v>3</v>
      </c>
      <c r="AH83" s="83"/>
      <c r="AJ83" s="83"/>
      <c r="AL83" s="59" t="s">
        <v>161</v>
      </c>
      <c r="AN83" s="59"/>
    </row>
    <row r="84" spans="2:40" s="4" customFormat="1" ht="18.95">
      <c r="B84" t="s">
        <v>174</v>
      </c>
      <c r="C84" s="71"/>
      <c r="D84"/>
      <c r="E84" s="71"/>
      <c r="F84" s="72"/>
      <c r="G84" s="72"/>
      <c r="H84"/>
      <c r="I84" s="71"/>
      <c r="J84" s="25"/>
      <c r="K84" s="24"/>
      <c r="L84" s="3"/>
      <c r="M84" s="73"/>
      <c r="N84" s="99" t="s">
        <v>52</v>
      </c>
      <c r="O84" s="46" t="str">
        <f t="shared" si="0"/>
        <v>.</v>
      </c>
      <c r="P84" s="44" t="s">
        <v>175</v>
      </c>
      <c r="Q84" s="42"/>
      <c r="R84" s="44"/>
      <c r="S84" s="42"/>
      <c r="T84" s="44"/>
      <c r="V84" s="75"/>
      <c r="X84" s="75">
        <v>1</v>
      </c>
      <c r="Z84" s="75"/>
      <c r="AB84" s="84"/>
      <c r="AD84" s="75"/>
      <c r="AF84" s="90">
        <v>3</v>
      </c>
      <c r="AH84" s="84"/>
      <c r="AJ84" s="84"/>
      <c r="AL84" s="6" t="s">
        <v>161</v>
      </c>
      <c r="AN84" s="44"/>
    </row>
    <row r="85" spans="2:40" s="4" customFormat="1" ht="18.95">
      <c r="B85" t="s">
        <v>176</v>
      </c>
      <c r="C85" s="71"/>
      <c r="D85"/>
      <c r="E85" s="71"/>
      <c r="F85" s="72"/>
      <c r="G85" s="72"/>
      <c r="H85"/>
      <c r="I85" s="71"/>
      <c r="J85" s="25"/>
      <c r="K85" s="24"/>
      <c r="L85" s="3"/>
      <c r="M85" s="73"/>
      <c r="N85" s="99" t="s">
        <v>61</v>
      </c>
      <c r="O85" s="42" t="str">
        <f t="shared" si="0"/>
        <v>.</v>
      </c>
      <c r="P85" s="47" t="s">
        <v>177</v>
      </c>
      <c r="Q85" s="46"/>
      <c r="R85" s="47"/>
      <c r="S85" s="46"/>
      <c r="T85" s="47"/>
      <c r="V85" s="88"/>
      <c r="X85" s="88">
        <v>1</v>
      </c>
      <c r="Z85" s="88"/>
      <c r="AB85" s="88"/>
      <c r="AD85" s="88"/>
      <c r="AF85" s="88">
        <v>3</v>
      </c>
      <c r="AH85" s="88"/>
      <c r="AJ85" s="88"/>
      <c r="AL85" s="39" t="s">
        <v>161</v>
      </c>
      <c r="AN85" s="47"/>
    </row>
    <row r="86" spans="2:40" s="4" customFormat="1" ht="18.95">
      <c r="B86" t="s">
        <v>178</v>
      </c>
      <c r="C86" s="71"/>
      <c r="D86"/>
      <c r="E86" s="71"/>
      <c r="F86" s="72"/>
      <c r="G86" s="72"/>
      <c r="H86"/>
      <c r="I86" s="71"/>
      <c r="J86" s="54" t="s">
        <v>110</v>
      </c>
      <c r="K86" s="55" t="str">
        <f t="shared" si="1"/>
        <v>.</v>
      </c>
      <c r="L86" s="56" t="s">
        <v>179</v>
      </c>
      <c r="M86" s="79"/>
      <c r="N86" s="100" t="s">
        <v>43</v>
      </c>
      <c r="O86" s="81" t="str">
        <f t="shared" si="0"/>
        <v>.</v>
      </c>
      <c r="P86" s="59" t="s">
        <v>180</v>
      </c>
      <c r="Q86" s="81"/>
      <c r="R86" s="59"/>
      <c r="S86" s="81"/>
      <c r="T86" s="59"/>
      <c r="V86" s="83"/>
      <c r="X86" s="83">
        <v>1</v>
      </c>
      <c r="Z86" s="83"/>
      <c r="AB86" s="83"/>
      <c r="AD86" s="83"/>
      <c r="AF86" s="83">
        <v>3</v>
      </c>
      <c r="AH86" s="83">
        <v>3</v>
      </c>
      <c r="AJ86" s="83">
        <v>3</v>
      </c>
      <c r="AL86" s="59" t="s">
        <v>161</v>
      </c>
      <c r="AN86" s="59"/>
    </row>
    <row r="87" spans="2:40" s="4" customFormat="1" ht="18.95">
      <c r="B87" t="s">
        <v>181</v>
      </c>
      <c r="C87" s="71"/>
      <c r="D87"/>
      <c r="E87" s="71"/>
      <c r="F87" s="72"/>
      <c r="G87" s="72"/>
      <c r="H87"/>
      <c r="I87" s="71"/>
      <c r="J87" s="34"/>
      <c r="K87" s="35"/>
      <c r="L87" s="36"/>
      <c r="M87" s="85"/>
      <c r="N87" s="95" t="s">
        <v>52</v>
      </c>
      <c r="O87" s="46" t="s">
        <v>44</v>
      </c>
      <c r="P87" s="47" t="s">
        <v>182</v>
      </c>
      <c r="Q87" s="46"/>
      <c r="R87" s="47"/>
      <c r="S87" s="46"/>
      <c r="T87" s="47"/>
      <c r="V87" s="88"/>
      <c r="X87" s="88"/>
      <c r="Z87" s="88"/>
      <c r="AB87" s="88">
        <v>1</v>
      </c>
      <c r="AD87" s="88"/>
      <c r="AF87" s="88">
        <v>2</v>
      </c>
      <c r="AH87" s="88">
        <v>2</v>
      </c>
      <c r="AJ87" s="88">
        <v>2</v>
      </c>
      <c r="AL87" s="39" t="s">
        <v>183</v>
      </c>
      <c r="AN87" s="47"/>
    </row>
    <row r="88" spans="2:40" s="4" customFormat="1" ht="18.95">
      <c r="B88" t="s">
        <v>184</v>
      </c>
      <c r="C88" s="71"/>
      <c r="D88"/>
      <c r="E88" s="71"/>
      <c r="F88" s="91"/>
      <c r="G88" s="91"/>
      <c r="H88" s="92"/>
      <c r="I88" s="93"/>
      <c r="J88" s="34" t="s">
        <v>127</v>
      </c>
      <c r="K88" s="35" t="str">
        <f t="shared" si="1"/>
        <v>.</v>
      </c>
      <c r="L88" s="36" t="s">
        <v>185</v>
      </c>
      <c r="M88" s="85"/>
      <c r="N88" s="101" t="s">
        <v>43</v>
      </c>
      <c r="O88" s="35" t="str">
        <f t="shared" si="0"/>
        <v>.</v>
      </c>
      <c r="P88" s="51" t="s">
        <v>186</v>
      </c>
      <c r="Q88" s="50"/>
      <c r="R88" s="53"/>
      <c r="S88" s="50"/>
      <c r="T88" s="53"/>
      <c r="V88" s="98"/>
      <c r="X88" s="98"/>
      <c r="Z88" s="98">
        <v>1</v>
      </c>
      <c r="AB88" s="98"/>
      <c r="AD88" s="98"/>
      <c r="AF88" s="98">
        <v>3</v>
      </c>
      <c r="AH88" s="98"/>
      <c r="AJ88" s="98"/>
      <c r="AL88" s="53" t="s">
        <v>161</v>
      </c>
      <c r="AN88" s="53"/>
    </row>
    <row r="89" spans="2:40" s="4" customFormat="1" ht="18.95">
      <c r="B89" t="s">
        <v>187</v>
      </c>
      <c r="C89" s="71"/>
      <c r="D89"/>
      <c r="E89" s="71"/>
      <c r="F89" s="72" t="s">
        <v>188</v>
      </c>
      <c r="G89" s="72" t="str">
        <f t="shared" si="2"/>
        <v>.</v>
      </c>
      <c r="H89" t="s">
        <v>189</v>
      </c>
      <c r="I89" s="71"/>
      <c r="J89" s="25" t="s">
        <v>43</v>
      </c>
      <c r="K89" s="24" t="str">
        <f t="shared" si="1"/>
        <v>.</v>
      </c>
      <c r="L89" s="3" t="s">
        <v>190</v>
      </c>
      <c r="M89" s="73"/>
      <c r="N89" s="11" t="s">
        <v>43</v>
      </c>
      <c r="O89" s="24" t="str">
        <f t="shared" si="0"/>
        <v>.</v>
      </c>
      <c r="P89" s="3" t="s">
        <v>191</v>
      </c>
      <c r="Q89" s="24"/>
      <c r="S89" s="24"/>
      <c r="V89" s="74"/>
      <c r="X89" s="74"/>
      <c r="Z89" s="74"/>
      <c r="AB89" s="74"/>
      <c r="AD89" s="74"/>
      <c r="AF89" s="74"/>
      <c r="AH89" s="74"/>
      <c r="AJ89" s="74"/>
    </row>
    <row r="90" spans="2:40" s="4" customFormat="1" ht="18.95">
      <c r="B90" t="s">
        <v>192</v>
      </c>
      <c r="C90" s="71"/>
      <c r="D90"/>
      <c r="E90" s="71"/>
      <c r="F90" s="72"/>
      <c r="G90" s="72"/>
      <c r="H90"/>
      <c r="I90" s="71"/>
      <c r="J90" s="25"/>
      <c r="K90" s="24"/>
      <c r="L90" s="3"/>
      <c r="M90" s="73"/>
      <c r="N90" s="11"/>
      <c r="O90" s="24">
        <f t="shared" si="0"/>
        <v>0</v>
      </c>
      <c r="P90" s="26" t="s">
        <v>49</v>
      </c>
      <c r="Q90" s="24"/>
      <c r="R90" s="4" t="s">
        <v>193</v>
      </c>
      <c r="S90" s="24"/>
      <c r="V90" s="74"/>
      <c r="X90" s="74"/>
      <c r="Z90" s="74">
        <v>1</v>
      </c>
      <c r="AB90" s="74"/>
      <c r="AD90" s="74"/>
      <c r="AF90" s="74">
        <v>2</v>
      </c>
      <c r="AH90" s="74">
        <v>2</v>
      </c>
      <c r="AJ90" s="74"/>
      <c r="AL90" s="115" t="s">
        <v>194</v>
      </c>
    </row>
    <row r="91" spans="2:40" s="4" customFormat="1" ht="18.95">
      <c r="B91" t="s">
        <v>195</v>
      </c>
      <c r="C91" s="71"/>
      <c r="D91"/>
      <c r="E91" s="71"/>
      <c r="F91" s="72"/>
      <c r="G91" s="72"/>
      <c r="H91"/>
      <c r="I91" s="71"/>
      <c r="J91" s="25"/>
      <c r="K91" s="24"/>
      <c r="L91" s="3"/>
      <c r="M91" s="73"/>
      <c r="N91" s="11"/>
      <c r="O91" s="24">
        <f t="shared" si="0"/>
        <v>0</v>
      </c>
      <c r="P91" s="26" t="s">
        <v>196</v>
      </c>
      <c r="Q91" s="24"/>
      <c r="R91" s="4" t="s">
        <v>197</v>
      </c>
      <c r="S91" s="24"/>
      <c r="V91" s="74"/>
      <c r="X91" s="74"/>
      <c r="Z91" s="74"/>
      <c r="AB91" s="74">
        <v>1</v>
      </c>
      <c r="AD91" s="74"/>
      <c r="AF91" s="74">
        <v>2</v>
      </c>
      <c r="AH91" s="74">
        <v>2</v>
      </c>
      <c r="AJ91" s="74">
        <v>2</v>
      </c>
      <c r="AL91" s="115" t="s">
        <v>194</v>
      </c>
    </row>
    <row r="92" spans="2:40" s="4" customFormat="1" ht="18.95">
      <c r="B92" t="s">
        <v>198</v>
      </c>
      <c r="C92" s="71"/>
      <c r="D92"/>
      <c r="E92" s="71"/>
      <c r="F92" s="72"/>
      <c r="G92" s="72"/>
      <c r="H92"/>
      <c r="I92" s="71"/>
      <c r="J92" s="102" t="s">
        <v>52</v>
      </c>
      <c r="K92" s="103" t="str">
        <f t="shared" ref="K92" si="3">IF(J92=0,,".")</f>
        <v>.</v>
      </c>
      <c r="L92" s="104" t="s">
        <v>199</v>
      </c>
      <c r="M92" s="73"/>
      <c r="N92" s="57" t="s">
        <v>43</v>
      </c>
      <c r="O92" s="55" t="str">
        <f t="shared" si="0"/>
        <v>.</v>
      </c>
      <c r="P92" s="56" t="s">
        <v>200</v>
      </c>
      <c r="Q92" s="55"/>
      <c r="R92" s="58"/>
      <c r="S92" s="55"/>
      <c r="T92" s="58"/>
      <c r="V92" s="89"/>
      <c r="X92" s="89"/>
      <c r="Z92" s="89"/>
      <c r="AB92" s="89"/>
      <c r="AD92" s="89"/>
      <c r="AF92" s="89"/>
      <c r="AH92" s="89"/>
      <c r="AJ92" s="89"/>
      <c r="AL92" s="58"/>
      <c r="AN92" s="58"/>
    </row>
    <row r="93" spans="2:40" s="4" customFormat="1" ht="18.95">
      <c r="B93" t="s">
        <v>201</v>
      </c>
      <c r="C93" s="71"/>
      <c r="D93"/>
      <c r="E93" s="71"/>
      <c r="F93" s="72"/>
      <c r="G93" s="72"/>
      <c r="H93"/>
      <c r="I93" s="71"/>
      <c r="J93" s="25"/>
      <c r="K93" s="24"/>
      <c r="L93" s="3"/>
      <c r="M93" s="73"/>
      <c r="N93" s="11"/>
      <c r="O93" s="24"/>
      <c r="P93" s="26" t="s">
        <v>49</v>
      </c>
      <c r="Q93" s="24"/>
      <c r="R93" s="4" t="s">
        <v>202</v>
      </c>
      <c r="S93" s="24"/>
      <c r="V93" s="74">
        <v>1</v>
      </c>
      <c r="X93" s="74"/>
      <c r="Z93" s="74"/>
      <c r="AB93" s="74"/>
      <c r="AD93" s="74"/>
      <c r="AF93" s="74"/>
      <c r="AH93" s="74"/>
      <c r="AJ93" s="74"/>
      <c r="AL93" s="4" t="s">
        <v>203</v>
      </c>
      <c r="AN93" s="4" t="s">
        <v>204</v>
      </c>
    </row>
    <row r="94" spans="2:40" s="4" customFormat="1" ht="18.95">
      <c r="B94" t="s">
        <v>205</v>
      </c>
      <c r="C94" s="71"/>
      <c r="D94"/>
      <c r="E94" s="71"/>
      <c r="F94" s="72"/>
      <c r="G94" s="72"/>
      <c r="H94"/>
      <c r="I94" s="71"/>
      <c r="J94" s="25"/>
      <c r="K94" s="24"/>
      <c r="L94" s="3"/>
      <c r="M94" s="73"/>
      <c r="N94" s="11"/>
      <c r="O94" s="24"/>
      <c r="P94" s="26" t="s">
        <v>58</v>
      </c>
      <c r="Q94" s="24"/>
      <c r="R94" s="4" t="s">
        <v>206</v>
      </c>
      <c r="S94" s="24"/>
      <c r="V94" s="74"/>
      <c r="X94" s="74">
        <v>1</v>
      </c>
      <c r="Z94" s="74"/>
      <c r="AB94" s="74"/>
      <c r="AD94" s="74"/>
      <c r="AF94" s="74"/>
      <c r="AH94" s="74"/>
      <c r="AJ94" s="74"/>
      <c r="AL94" s="4" t="s">
        <v>203</v>
      </c>
      <c r="AN94" s="4" t="s">
        <v>204</v>
      </c>
    </row>
    <row r="95" spans="2:40" s="4" customFormat="1" ht="18.95">
      <c r="B95" t="s">
        <v>207</v>
      </c>
      <c r="C95" s="71"/>
      <c r="D95"/>
      <c r="E95" s="71"/>
      <c r="F95" s="72"/>
      <c r="G95" s="72"/>
      <c r="H95"/>
      <c r="I95" s="71"/>
      <c r="J95" s="25"/>
      <c r="K95" s="24"/>
      <c r="L95" s="3"/>
      <c r="M95" s="73"/>
      <c r="N95" s="11"/>
      <c r="O95" s="24"/>
      <c r="P95" s="26" t="s">
        <v>91</v>
      </c>
      <c r="Q95" s="24"/>
      <c r="R95" s="4" t="s">
        <v>208</v>
      </c>
      <c r="S95" s="24"/>
      <c r="V95" s="74"/>
      <c r="X95" s="74"/>
      <c r="Z95" s="74"/>
      <c r="AB95" s="74"/>
      <c r="AD95" s="74"/>
      <c r="AF95" s="74"/>
      <c r="AH95" s="74"/>
      <c r="AJ95" s="74"/>
    </row>
    <row r="96" spans="2:40" s="4" customFormat="1" ht="18.95">
      <c r="B96" t="s">
        <v>209</v>
      </c>
      <c r="C96" s="71"/>
      <c r="D96"/>
      <c r="E96" s="71"/>
      <c r="F96" s="72"/>
      <c r="G96" s="72"/>
      <c r="H96"/>
      <c r="I96" s="71"/>
      <c r="J96" s="25"/>
      <c r="K96" s="24"/>
      <c r="L96" s="3"/>
      <c r="M96" s="73"/>
      <c r="N96" s="41" t="s">
        <v>52</v>
      </c>
      <c r="O96" s="42" t="str">
        <f t="shared" ref="O96" si="4">IF(N96=0,,".")</f>
        <v>.</v>
      </c>
      <c r="P96" s="43" t="s">
        <v>210</v>
      </c>
      <c r="Q96" s="42"/>
      <c r="R96" s="44"/>
      <c r="S96" s="42"/>
      <c r="T96" s="44"/>
      <c r="V96" s="75"/>
      <c r="X96" s="75"/>
      <c r="Z96" s="75"/>
      <c r="AB96" s="75"/>
      <c r="AD96" s="75"/>
      <c r="AF96" s="75"/>
      <c r="AH96" s="75"/>
      <c r="AJ96" s="75"/>
      <c r="AL96" s="44"/>
      <c r="AN96" s="44"/>
    </row>
    <row r="97" spans="2:40" s="4" customFormat="1" ht="18.95">
      <c r="B97" t="s">
        <v>211</v>
      </c>
      <c r="C97" s="71"/>
      <c r="D97"/>
      <c r="E97" s="71"/>
      <c r="F97" s="72"/>
      <c r="G97" s="72"/>
      <c r="H97"/>
      <c r="I97" s="71"/>
      <c r="J97" s="25"/>
      <c r="K97" s="24"/>
      <c r="L97" s="3"/>
      <c r="M97" s="73"/>
      <c r="N97" s="11"/>
      <c r="O97" s="24"/>
      <c r="P97" s="26" t="s">
        <v>49</v>
      </c>
      <c r="Q97" s="105"/>
      <c r="R97" s="4" t="s">
        <v>212</v>
      </c>
      <c r="S97" s="105"/>
      <c r="T97" s="13"/>
      <c r="V97" s="74">
        <v>1</v>
      </c>
      <c r="X97" s="74"/>
      <c r="Z97" s="74"/>
      <c r="AB97" s="74"/>
      <c r="AD97" s="74"/>
      <c r="AF97" s="74"/>
      <c r="AH97" s="74"/>
      <c r="AJ97" s="74"/>
      <c r="AN97" s="4" t="s">
        <v>213</v>
      </c>
    </row>
    <row r="98" spans="2:40" s="4" customFormat="1" ht="18.95">
      <c r="B98" t="s">
        <v>214</v>
      </c>
      <c r="C98" s="71"/>
      <c r="D98"/>
      <c r="E98" s="71"/>
      <c r="F98" s="72"/>
      <c r="G98" s="72"/>
      <c r="H98"/>
      <c r="I98" s="71"/>
      <c r="J98" s="25"/>
      <c r="K98" s="24"/>
      <c r="L98" s="3"/>
      <c r="M98" s="73"/>
      <c r="N98" s="11"/>
      <c r="O98" s="24"/>
      <c r="P98" s="25" t="s">
        <v>91</v>
      </c>
      <c r="Q98" s="24"/>
      <c r="R98" s="3" t="s">
        <v>215</v>
      </c>
      <c r="S98" s="5"/>
      <c r="V98" s="74"/>
      <c r="X98" s="74"/>
      <c r="Z98" s="74"/>
      <c r="AB98" s="74"/>
      <c r="AD98" s="74"/>
      <c r="AF98" s="74"/>
      <c r="AH98" s="74"/>
      <c r="AJ98" s="74"/>
    </row>
    <row r="99" spans="2:40" s="4" customFormat="1" ht="18.95">
      <c r="B99" t="s">
        <v>216</v>
      </c>
      <c r="C99" s="71"/>
      <c r="D99"/>
      <c r="E99" s="71"/>
      <c r="F99" s="72"/>
      <c r="G99" s="72"/>
      <c r="H99"/>
      <c r="I99" s="71"/>
      <c r="J99" s="25"/>
      <c r="K99" s="24"/>
      <c r="L99" s="3"/>
      <c r="M99" s="73"/>
      <c r="N99" s="106" t="s">
        <v>61</v>
      </c>
      <c r="O99" s="107" t="str">
        <f t="shared" ref="O99" si="5">IF(N99=0,,".")</f>
        <v>.</v>
      </c>
      <c r="P99" s="108" t="s">
        <v>217</v>
      </c>
      <c r="Q99" s="107"/>
      <c r="R99" s="108"/>
      <c r="S99" s="107"/>
      <c r="T99" s="108"/>
      <c r="V99" s="109"/>
      <c r="X99" s="109"/>
      <c r="Z99" s="109"/>
      <c r="AB99" s="109"/>
      <c r="AD99" s="109"/>
      <c r="AF99" s="109"/>
      <c r="AH99" s="109"/>
      <c r="AJ99" s="109"/>
      <c r="AL99" s="108"/>
      <c r="AN99" s="108"/>
    </row>
    <row r="100" spans="2:40" s="4" customFormat="1" ht="18.95">
      <c r="B100" t="s">
        <v>218</v>
      </c>
      <c r="C100" s="71"/>
      <c r="D100"/>
      <c r="E100" s="71"/>
      <c r="F100" s="72"/>
      <c r="G100" s="72"/>
      <c r="H100"/>
      <c r="I100" s="71"/>
      <c r="J100" s="25"/>
      <c r="K100" s="24"/>
      <c r="L100" s="3"/>
      <c r="M100" s="73"/>
      <c r="N100" s="11"/>
      <c r="O100" s="24"/>
      <c r="P100" s="26" t="s">
        <v>49</v>
      </c>
      <c r="Q100" s="24"/>
      <c r="R100" s="3" t="s">
        <v>219</v>
      </c>
      <c r="S100" s="24"/>
      <c r="T100" s="3"/>
      <c r="V100" s="74">
        <v>1</v>
      </c>
      <c r="X100" s="74"/>
      <c r="Z100" s="74"/>
      <c r="AB100" s="74"/>
      <c r="AD100" s="74"/>
      <c r="AF100" s="74"/>
      <c r="AH100" s="74"/>
      <c r="AJ100" s="74"/>
    </row>
    <row r="101" spans="2:40" s="4" customFormat="1" ht="18.95">
      <c r="B101" t="s">
        <v>220</v>
      </c>
      <c r="C101" s="71"/>
      <c r="D101"/>
      <c r="E101" s="71"/>
      <c r="F101" s="72"/>
      <c r="G101" s="72"/>
      <c r="H101"/>
      <c r="I101" s="71"/>
      <c r="J101" s="25"/>
      <c r="K101" s="24"/>
      <c r="L101" s="3"/>
      <c r="M101" s="73"/>
      <c r="N101" s="11"/>
      <c r="O101" s="24"/>
      <c r="P101" s="26" t="s">
        <v>58</v>
      </c>
      <c r="Q101" s="24"/>
      <c r="R101" s="3" t="s">
        <v>221</v>
      </c>
      <c r="S101" s="24"/>
      <c r="T101" s="3"/>
      <c r="V101" s="74"/>
      <c r="X101" s="74">
        <v>1</v>
      </c>
      <c r="Z101" s="74"/>
      <c r="AB101" s="74"/>
      <c r="AD101" s="74"/>
      <c r="AF101" s="74"/>
      <c r="AH101" s="74"/>
      <c r="AJ101" s="74"/>
    </row>
    <row r="102" spans="2:40" s="4" customFormat="1" ht="18.95">
      <c r="B102" t="s">
        <v>222</v>
      </c>
      <c r="C102" s="71"/>
      <c r="D102"/>
      <c r="E102" s="71"/>
      <c r="F102" s="72"/>
      <c r="G102" s="72"/>
      <c r="H102"/>
      <c r="I102" s="71"/>
      <c r="J102" s="25"/>
      <c r="K102" s="24"/>
      <c r="L102" s="3"/>
      <c r="M102" s="73"/>
      <c r="N102" s="11"/>
      <c r="O102" s="24"/>
      <c r="P102" s="26" t="s">
        <v>87</v>
      </c>
      <c r="Q102" s="24"/>
      <c r="R102" s="3" t="s">
        <v>223</v>
      </c>
      <c r="S102" s="24"/>
      <c r="T102" s="3"/>
      <c r="V102" s="74"/>
      <c r="X102" s="74"/>
      <c r="Z102" s="74">
        <v>1</v>
      </c>
      <c r="AB102" s="74"/>
      <c r="AD102" s="74"/>
      <c r="AF102" s="74"/>
      <c r="AH102" s="74"/>
      <c r="AJ102" s="74"/>
    </row>
    <row r="103" spans="2:40" s="4" customFormat="1" ht="18.95">
      <c r="B103" t="s">
        <v>224</v>
      </c>
      <c r="C103" s="71"/>
      <c r="D103"/>
      <c r="E103" s="71"/>
      <c r="F103" s="72"/>
      <c r="G103" s="72"/>
      <c r="H103"/>
      <c r="I103" s="71"/>
      <c r="J103" s="25"/>
      <c r="K103" s="24"/>
      <c r="L103" s="3"/>
      <c r="M103" s="73"/>
      <c r="N103" s="11"/>
      <c r="O103" s="24"/>
      <c r="P103" s="61" t="s">
        <v>91</v>
      </c>
      <c r="Q103" s="24"/>
      <c r="R103" s="3" t="s">
        <v>225</v>
      </c>
      <c r="S103" s="24"/>
      <c r="T103" s="3"/>
      <c r="V103" s="74"/>
      <c r="X103" s="74"/>
      <c r="Z103" s="74"/>
      <c r="AB103" s="74"/>
      <c r="AD103" s="74"/>
      <c r="AF103" s="74"/>
      <c r="AH103" s="74"/>
      <c r="AJ103" s="74"/>
    </row>
    <row r="104" spans="2:40" s="4" customFormat="1" ht="18.95">
      <c r="B104" t="s">
        <v>226</v>
      </c>
      <c r="C104" s="71"/>
      <c r="D104"/>
      <c r="E104" s="71"/>
      <c r="F104" s="72"/>
      <c r="G104" s="72"/>
      <c r="H104"/>
      <c r="I104" s="71"/>
      <c r="J104" s="25"/>
      <c r="K104" s="24"/>
      <c r="L104" s="3"/>
      <c r="M104" s="73"/>
      <c r="N104" s="41" t="s">
        <v>110</v>
      </c>
      <c r="O104" s="42" t="str">
        <f t="shared" ref="O104" si="6">IF(N104=0,,".")</f>
        <v>.</v>
      </c>
      <c r="P104" s="43" t="s">
        <v>227</v>
      </c>
      <c r="Q104" s="42"/>
      <c r="R104" s="44"/>
      <c r="S104" s="42"/>
      <c r="T104" s="44"/>
      <c r="V104" s="75"/>
      <c r="X104" s="75"/>
      <c r="Z104" s="75"/>
      <c r="AB104" s="75"/>
      <c r="AD104" s="75"/>
      <c r="AF104" s="75"/>
      <c r="AH104" s="75"/>
      <c r="AJ104" s="75"/>
      <c r="AL104" s="44"/>
      <c r="AN104" s="44"/>
    </row>
    <row r="105" spans="2:40" s="4" customFormat="1" ht="18.95">
      <c r="B105" t="s">
        <v>228</v>
      </c>
      <c r="C105" s="71"/>
      <c r="D105"/>
      <c r="E105" s="71"/>
      <c r="F105" s="72"/>
      <c r="G105" s="72"/>
      <c r="H105"/>
      <c r="I105" s="71"/>
      <c r="J105" s="25"/>
      <c r="K105" s="24"/>
      <c r="L105" s="3"/>
      <c r="M105" s="73"/>
      <c r="N105" s="11"/>
      <c r="O105" s="24"/>
      <c r="P105" s="26" t="s">
        <v>49</v>
      </c>
      <c r="Q105" s="24"/>
      <c r="R105" s="4" t="s">
        <v>229</v>
      </c>
      <c r="S105" s="24"/>
      <c r="V105" s="74"/>
      <c r="X105" s="74"/>
      <c r="Z105" s="74"/>
      <c r="AB105" s="74"/>
      <c r="AD105" s="74"/>
      <c r="AF105" s="74"/>
      <c r="AH105" s="74"/>
      <c r="AJ105" s="74"/>
    </row>
    <row r="106" spans="2:40" s="4" customFormat="1" ht="18.95">
      <c r="B106" t="s">
        <v>228</v>
      </c>
      <c r="C106" s="71"/>
      <c r="D106"/>
      <c r="E106" s="71"/>
      <c r="F106" s="72"/>
      <c r="G106" s="72"/>
      <c r="H106"/>
      <c r="I106" s="71"/>
      <c r="J106" s="25"/>
      <c r="K106" s="24"/>
      <c r="L106" s="3"/>
      <c r="M106" s="73"/>
      <c r="N106" s="11"/>
      <c r="O106" s="24"/>
      <c r="P106" s="26"/>
      <c r="Q106" s="24"/>
      <c r="R106" s="40" t="s">
        <v>230</v>
      </c>
      <c r="S106" s="24" t="str">
        <f t="shared" ref="S106:S110" si="7">IF(R106=0,,".")</f>
        <v>.</v>
      </c>
      <c r="T106" s="4" t="s">
        <v>231</v>
      </c>
      <c r="V106" s="74">
        <v>1</v>
      </c>
      <c r="X106" s="74"/>
      <c r="Z106" s="74"/>
      <c r="AB106" s="74"/>
      <c r="AD106" s="74"/>
      <c r="AF106" s="74"/>
      <c r="AH106" s="74"/>
      <c r="AJ106" s="74"/>
    </row>
    <row r="107" spans="2:40" s="4" customFormat="1" ht="18.95">
      <c r="B107" t="s">
        <v>228</v>
      </c>
      <c r="C107" s="71"/>
      <c r="D107"/>
      <c r="E107" s="71"/>
      <c r="F107" s="72"/>
      <c r="G107" s="72"/>
      <c r="H107"/>
      <c r="I107" s="71"/>
      <c r="J107" s="25"/>
      <c r="K107" s="24"/>
      <c r="L107" s="3"/>
      <c r="M107" s="73"/>
      <c r="N107" s="11"/>
      <c r="O107" s="24"/>
      <c r="P107" s="26"/>
      <c r="Q107" s="24"/>
      <c r="R107" s="40" t="s">
        <v>70</v>
      </c>
      <c r="S107" s="24" t="str">
        <f t="shared" si="7"/>
        <v>.</v>
      </c>
      <c r="T107" s="4" t="s">
        <v>102</v>
      </c>
      <c r="V107" s="74"/>
      <c r="X107" s="74">
        <v>1</v>
      </c>
      <c r="Z107" s="74">
        <v>3</v>
      </c>
      <c r="AB107" s="74"/>
      <c r="AD107" s="74"/>
      <c r="AF107" s="74">
        <v>2</v>
      </c>
      <c r="AH107" s="74"/>
      <c r="AJ107" s="74"/>
    </row>
    <row r="108" spans="2:40" s="4" customFormat="1" ht="18.95">
      <c r="B108" t="s">
        <v>228</v>
      </c>
      <c r="C108" s="71"/>
      <c r="D108"/>
      <c r="E108" s="71"/>
      <c r="F108" s="72"/>
      <c r="G108" s="72"/>
      <c r="H108"/>
      <c r="I108" s="71"/>
      <c r="J108" s="25"/>
      <c r="K108" s="24"/>
      <c r="L108" s="3"/>
      <c r="M108" s="73"/>
      <c r="N108" s="11"/>
      <c r="O108" s="24"/>
      <c r="P108" s="26"/>
      <c r="Q108" s="24"/>
      <c r="R108" s="4" t="s">
        <v>72</v>
      </c>
      <c r="S108" s="24" t="str">
        <f t="shared" si="7"/>
        <v>.</v>
      </c>
      <c r="T108" s="4" t="s">
        <v>105</v>
      </c>
      <c r="V108" s="74"/>
      <c r="X108" s="74"/>
      <c r="Z108" s="74">
        <v>1</v>
      </c>
      <c r="AB108" s="74"/>
      <c r="AD108" s="74"/>
      <c r="AF108" s="74">
        <v>2</v>
      </c>
      <c r="AH108" s="74">
        <v>2</v>
      </c>
      <c r="AJ108" s="74"/>
      <c r="AL108" s="4" t="s">
        <v>140</v>
      </c>
    </row>
    <row r="109" spans="2:40" s="4" customFormat="1" ht="18.95">
      <c r="B109" t="s">
        <v>228</v>
      </c>
      <c r="C109" s="71"/>
      <c r="D109"/>
      <c r="E109" s="71"/>
      <c r="F109" s="72"/>
      <c r="G109" s="72"/>
      <c r="H109"/>
      <c r="I109" s="71"/>
      <c r="J109" s="25"/>
      <c r="K109" s="24"/>
      <c r="L109" s="3"/>
      <c r="M109" s="73"/>
      <c r="N109" s="11"/>
      <c r="O109" s="24"/>
      <c r="P109" s="26"/>
      <c r="Q109" s="24"/>
      <c r="R109" s="4" t="s">
        <v>74</v>
      </c>
      <c r="S109" s="24" t="str">
        <f t="shared" si="7"/>
        <v>.</v>
      </c>
      <c r="T109" s="4" t="s">
        <v>107</v>
      </c>
      <c r="V109" s="74"/>
      <c r="X109" s="74"/>
      <c r="Z109" s="74"/>
      <c r="AB109" s="74">
        <v>1</v>
      </c>
      <c r="AD109" s="74"/>
      <c r="AF109" s="74">
        <v>2</v>
      </c>
      <c r="AH109" s="74">
        <v>2</v>
      </c>
      <c r="AJ109" s="74">
        <v>2</v>
      </c>
      <c r="AL109" s="4" t="s">
        <v>140</v>
      </c>
    </row>
    <row r="110" spans="2:40" s="4" customFormat="1" ht="18.95">
      <c r="B110" t="s">
        <v>228</v>
      </c>
      <c r="C110" s="71"/>
      <c r="D110"/>
      <c r="E110" s="71"/>
      <c r="F110" s="72"/>
      <c r="G110" s="72"/>
      <c r="H110"/>
      <c r="I110" s="71"/>
      <c r="J110" s="25"/>
      <c r="K110" s="24"/>
      <c r="L110" s="3"/>
      <c r="M110" s="73"/>
      <c r="N110" s="11"/>
      <c r="O110" s="24"/>
      <c r="P110" s="26"/>
      <c r="Q110" s="24"/>
      <c r="R110" s="4" t="s">
        <v>76</v>
      </c>
      <c r="S110" s="24" t="str">
        <f t="shared" si="7"/>
        <v>.</v>
      </c>
      <c r="T110" s="4" t="s">
        <v>111</v>
      </c>
      <c r="V110" s="74"/>
      <c r="X110" s="74"/>
      <c r="Z110" s="74"/>
      <c r="AB110" s="74"/>
      <c r="AD110" s="74">
        <v>1</v>
      </c>
      <c r="AF110" s="74">
        <v>2</v>
      </c>
      <c r="AH110" s="74">
        <v>2</v>
      </c>
      <c r="AJ110" s="74">
        <v>2</v>
      </c>
      <c r="AL110" s="4" t="s">
        <v>140</v>
      </c>
      <c r="AN110" s="4" t="s">
        <v>78</v>
      </c>
    </row>
    <row r="111" spans="2:40" s="4" customFormat="1" ht="18.95">
      <c r="B111" t="s">
        <v>232</v>
      </c>
      <c r="C111" s="71"/>
      <c r="D111"/>
      <c r="E111" s="71"/>
      <c r="F111" s="72"/>
      <c r="G111" s="72"/>
      <c r="H111"/>
      <c r="I111" s="71"/>
      <c r="J111" s="25"/>
      <c r="K111" s="24"/>
      <c r="L111" s="3"/>
      <c r="M111" s="73"/>
      <c r="N111" s="11"/>
      <c r="O111" s="24"/>
      <c r="P111" s="26"/>
      <c r="Q111" s="24"/>
      <c r="R111" s="61" t="s">
        <v>91</v>
      </c>
      <c r="S111" s="24"/>
      <c r="T111" s="3" t="s">
        <v>233</v>
      </c>
      <c r="V111" s="74"/>
      <c r="X111" s="74"/>
      <c r="Z111" s="74"/>
      <c r="AB111" s="74"/>
      <c r="AD111" s="74"/>
      <c r="AF111" s="74"/>
      <c r="AH111" s="74"/>
      <c r="AJ111" s="74"/>
    </row>
    <row r="112" spans="2:40" s="4" customFormat="1" ht="18.95">
      <c r="B112" t="s">
        <v>234</v>
      </c>
      <c r="C112" s="71"/>
      <c r="D112"/>
      <c r="E112" s="71"/>
      <c r="F112" s="72"/>
      <c r="G112" s="72"/>
      <c r="H112"/>
      <c r="I112" s="71"/>
      <c r="J112" s="25"/>
      <c r="K112" s="24"/>
      <c r="L112" s="3"/>
      <c r="M112" s="73"/>
      <c r="N112" s="11"/>
      <c r="O112" s="24"/>
      <c r="P112" s="26" t="s">
        <v>58</v>
      </c>
      <c r="Q112" s="24"/>
      <c r="R112" s="4" t="s">
        <v>235</v>
      </c>
      <c r="S112" s="24"/>
      <c r="V112" s="74"/>
      <c r="X112" s="74"/>
      <c r="Z112" s="74"/>
      <c r="AB112" s="74"/>
      <c r="AD112" s="74"/>
      <c r="AF112" s="74"/>
      <c r="AH112" s="74"/>
      <c r="AJ112" s="74"/>
    </row>
    <row r="113" spans="2:40" s="4" customFormat="1" ht="18.95">
      <c r="B113" t="s">
        <v>234</v>
      </c>
      <c r="C113" s="71"/>
      <c r="D113"/>
      <c r="E113" s="71"/>
      <c r="F113" s="72"/>
      <c r="G113" s="72"/>
      <c r="H113"/>
      <c r="I113" s="71"/>
      <c r="J113" s="25"/>
      <c r="K113" s="24"/>
      <c r="L113" s="3"/>
      <c r="M113" s="73"/>
      <c r="N113" s="11"/>
      <c r="O113" s="24"/>
      <c r="P113" s="26"/>
      <c r="Q113" s="24"/>
      <c r="R113" s="40" t="s">
        <v>230</v>
      </c>
      <c r="S113" s="24" t="str">
        <f t="shared" ref="S113:S117" si="8">IF(R113=0,,".")</f>
        <v>.</v>
      </c>
      <c r="T113" s="4" t="s">
        <v>231</v>
      </c>
      <c r="V113" s="74">
        <v>1</v>
      </c>
      <c r="X113" s="74"/>
      <c r="Z113" s="74"/>
      <c r="AB113" s="74"/>
      <c r="AD113" s="74"/>
      <c r="AF113" s="74"/>
      <c r="AH113" s="74"/>
      <c r="AJ113" s="74"/>
    </row>
    <row r="114" spans="2:40" s="4" customFormat="1" ht="18.95">
      <c r="B114" t="s">
        <v>234</v>
      </c>
      <c r="C114" s="71"/>
      <c r="D114"/>
      <c r="E114" s="71"/>
      <c r="F114" s="72"/>
      <c r="G114" s="72"/>
      <c r="H114"/>
      <c r="I114" s="71"/>
      <c r="J114" s="25"/>
      <c r="K114" s="24"/>
      <c r="L114" s="3"/>
      <c r="M114" s="73"/>
      <c r="N114" s="11"/>
      <c r="O114" s="24"/>
      <c r="P114" s="26"/>
      <c r="Q114" s="24"/>
      <c r="R114" s="40" t="s">
        <v>70</v>
      </c>
      <c r="S114" s="24" t="str">
        <f t="shared" si="8"/>
        <v>.</v>
      </c>
      <c r="T114" s="4" t="s">
        <v>102</v>
      </c>
      <c r="V114" s="74">
        <v>1</v>
      </c>
      <c r="X114" s="74"/>
      <c r="Z114" s="74"/>
      <c r="AB114" s="74"/>
      <c r="AD114" s="74"/>
      <c r="AF114" s="74">
        <v>3</v>
      </c>
      <c r="AH114" s="74"/>
      <c r="AJ114" s="74"/>
    </row>
    <row r="115" spans="2:40" s="4" customFormat="1" ht="18.95">
      <c r="B115" t="s">
        <v>234</v>
      </c>
      <c r="C115" s="71"/>
      <c r="D115"/>
      <c r="E115" s="71"/>
      <c r="F115" s="72"/>
      <c r="G115" s="72"/>
      <c r="H115"/>
      <c r="I115" s="71"/>
      <c r="J115" s="25"/>
      <c r="K115" s="24"/>
      <c r="L115" s="3"/>
      <c r="M115" s="73"/>
      <c r="N115" s="11"/>
      <c r="O115" s="24"/>
      <c r="P115" s="26"/>
      <c r="Q115" s="24"/>
      <c r="R115" s="4" t="s">
        <v>72</v>
      </c>
      <c r="S115" s="24" t="str">
        <f t="shared" si="8"/>
        <v>.</v>
      </c>
      <c r="T115" s="4" t="s">
        <v>105</v>
      </c>
      <c r="V115" s="74"/>
      <c r="X115" s="74">
        <v>1</v>
      </c>
      <c r="Z115" s="74"/>
      <c r="AB115" s="74"/>
      <c r="AD115" s="74"/>
      <c r="AF115" s="74">
        <v>2</v>
      </c>
      <c r="AH115" s="74"/>
      <c r="AJ115" s="74"/>
    </row>
    <row r="116" spans="2:40" s="4" customFormat="1" ht="18.95">
      <c r="B116" t="s">
        <v>234</v>
      </c>
      <c r="C116" s="71"/>
      <c r="D116"/>
      <c r="E116" s="71"/>
      <c r="F116" s="72"/>
      <c r="G116" s="72"/>
      <c r="H116"/>
      <c r="I116" s="71"/>
      <c r="J116" s="25"/>
      <c r="K116" s="24"/>
      <c r="L116" s="3"/>
      <c r="M116" s="73"/>
      <c r="N116" s="11"/>
      <c r="O116" s="24"/>
      <c r="P116" s="26"/>
      <c r="Q116" s="24"/>
      <c r="R116" s="4" t="s">
        <v>74</v>
      </c>
      <c r="S116" s="24" t="str">
        <f t="shared" si="8"/>
        <v>.</v>
      </c>
      <c r="T116" s="4" t="s">
        <v>107</v>
      </c>
      <c r="V116" s="74"/>
      <c r="X116" s="74"/>
      <c r="Z116" s="74">
        <v>1</v>
      </c>
      <c r="AB116" s="74"/>
      <c r="AD116" s="74"/>
      <c r="AF116" s="74">
        <v>2</v>
      </c>
      <c r="AH116" s="74">
        <v>2</v>
      </c>
      <c r="AJ116" s="74"/>
      <c r="AL116" s="4" t="s">
        <v>140</v>
      </c>
    </row>
    <row r="117" spans="2:40" s="4" customFormat="1" ht="18.95">
      <c r="B117" t="s">
        <v>234</v>
      </c>
      <c r="C117" s="71"/>
      <c r="D117"/>
      <c r="E117" s="71"/>
      <c r="F117" s="72"/>
      <c r="G117" s="72"/>
      <c r="H117"/>
      <c r="I117" s="71"/>
      <c r="J117" s="25"/>
      <c r="K117" s="24"/>
      <c r="L117" s="3"/>
      <c r="M117" s="73"/>
      <c r="N117" s="37"/>
      <c r="O117" s="35"/>
      <c r="P117" s="38"/>
      <c r="Q117" s="35"/>
      <c r="R117" s="39" t="s">
        <v>76</v>
      </c>
      <c r="S117" s="35" t="str">
        <f t="shared" si="8"/>
        <v>.</v>
      </c>
      <c r="T117" s="39" t="s">
        <v>111</v>
      </c>
      <c r="V117" s="86"/>
      <c r="X117" s="86"/>
      <c r="Z117" s="86"/>
      <c r="AB117" s="86">
        <v>1</v>
      </c>
      <c r="AD117" s="86"/>
      <c r="AF117" s="86">
        <v>2</v>
      </c>
      <c r="AH117" s="86">
        <v>2</v>
      </c>
      <c r="AJ117" s="86">
        <v>2</v>
      </c>
      <c r="AL117" s="4" t="s">
        <v>140</v>
      </c>
    </row>
    <row r="118" spans="2:40" s="4" customFormat="1" ht="18.95">
      <c r="B118" t="s">
        <v>236</v>
      </c>
      <c r="C118" s="71"/>
      <c r="D118"/>
      <c r="E118" s="71"/>
      <c r="F118" s="72"/>
      <c r="G118" s="72"/>
      <c r="H118"/>
      <c r="I118" s="71"/>
      <c r="J118" s="54" t="s">
        <v>237</v>
      </c>
      <c r="K118" s="55" t="str">
        <f t="shared" ref="K118" si="9">IF(J118=0,,".")</f>
        <v>.</v>
      </c>
      <c r="L118" s="56" t="s">
        <v>238</v>
      </c>
      <c r="M118" s="79"/>
      <c r="N118" s="57" t="s">
        <v>43</v>
      </c>
      <c r="O118" s="55" t="str">
        <f t="shared" ref="O118" si="10">IF(N118=0,,".")</f>
        <v>.</v>
      </c>
      <c r="P118" s="58" t="s">
        <v>229</v>
      </c>
      <c r="Q118" s="55"/>
      <c r="R118" s="58"/>
      <c r="S118" s="55"/>
      <c r="T118" s="58"/>
      <c r="V118" s="89"/>
      <c r="X118" s="89"/>
      <c r="Z118" s="89"/>
      <c r="AB118" s="89"/>
      <c r="AD118" s="89"/>
      <c r="AF118" s="89"/>
      <c r="AH118" s="89"/>
      <c r="AJ118" s="89"/>
      <c r="AL118" s="58"/>
      <c r="AN118" s="58"/>
    </row>
    <row r="119" spans="2:40" s="4" customFormat="1" ht="18.95">
      <c r="B119" t="s">
        <v>239</v>
      </c>
      <c r="C119" s="71"/>
      <c r="D119"/>
      <c r="E119" s="71"/>
      <c r="F119" s="72"/>
      <c r="G119" s="72"/>
      <c r="H119"/>
      <c r="I119" s="71"/>
      <c r="J119" s="25"/>
      <c r="K119" s="24"/>
      <c r="L119" s="3"/>
      <c r="M119" s="73"/>
      <c r="N119" s="11"/>
      <c r="O119" s="24"/>
      <c r="P119" s="26" t="s">
        <v>49</v>
      </c>
      <c r="Q119" s="24"/>
      <c r="R119" s="3" t="s">
        <v>231</v>
      </c>
      <c r="S119" s="24"/>
      <c r="T119" s="3"/>
      <c r="V119" s="74">
        <v>1</v>
      </c>
      <c r="X119" s="74"/>
      <c r="Z119" s="74"/>
      <c r="AB119" s="74"/>
      <c r="AD119" s="74"/>
      <c r="AF119" s="74"/>
      <c r="AH119" s="74"/>
      <c r="AJ119" s="74"/>
      <c r="AL119" s="4" t="s">
        <v>240</v>
      </c>
    </row>
    <row r="120" spans="2:40" s="4" customFormat="1" ht="18.95">
      <c r="B120" t="s">
        <v>241</v>
      </c>
      <c r="C120" s="71"/>
      <c r="D120"/>
      <c r="E120" s="71"/>
      <c r="F120" s="72"/>
      <c r="G120" s="72"/>
      <c r="H120"/>
      <c r="I120" s="71"/>
      <c r="J120" s="25"/>
      <c r="K120" s="24"/>
      <c r="L120" s="3"/>
      <c r="M120" s="73"/>
      <c r="N120" s="11"/>
      <c r="O120" s="24"/>
      <c r="P120" s="26" t="s">
        <v>58</v>
      </c>
      <c r="Q120" s="24"/>
      <c r="R120" s="3" t="s">
        <v>102</v>
      </c>
      <c r="S120" s="24"/>
      <c r="T120" s="3"/>
      <c r="V120" s="74"/>
      <c r="X120" s="74">
        <v>1</v>
      </c>
      <c r="Z120" s="74">
        <v>3</v>
      </c>
      <c r="AB120" s="74"/>
      <c r="AD120" s="74"/>
      <c r="AF120" s="74">
        <v>2</v>
      </c>
      <c r="AH120" s="74"/>
      <c r="AJ120" s="74"/>
      <c r="AL120" s="4" t="s">
        <v>240</v>
      </c>
    </row>
    <row r="121" spans="2:40" s="4" customFormat="1" ht="18.95">
      <c r="B121" t="s">
        <v>242</v>
      </c>
      <c r="C121" s="71"/>
      <c r="D121"/>
      <c r="E121" s="71"/>
      <c r="F121" s="72"/>
      <c r="G121" s="72"/>
      <c r="H121"/>
      <c r="I121" s="71"/>
      <c r="J121" s="25"/>
      <c r="K121" s="24"/>
      <c r="L121" s="3"/>
      <c r="M121" s="73"/>
      <c r="N121" s="11"/>
      <c r="O121" s="24"/>
      <c r="P121" s="26" t="s">
        <v>87</v>
      </c>
      <c r="Q121" s="24"/>
      <c r="R121" s="3" t="s">
        <v>105</v>
      </c>
      <c r="S121" s="24"/>
      <c r="T121" s="3"/>
      <c r="V121" s="74"/>
      <c r="X121" s="74"/>
      <c r="Z121" s="74">
        <v>1</v>
      </c>
      <c r="AB121" s="74"/>
      <c r="AD121" s="74"/>
      <c r="AF121" s="74">
        <v>2</v>
      </c>
      <c r="AH121" s="74">
        <v>2</v>
      </c>
      <c r="AJ121" s="74"/>
      <c r="AL121" s="4" t="s">
        <v>243</v>
      </c>
    </row>
    <row r="122" spans="2:40" s="4" customFormat="1" ht="18.95">
      <c r="B122" t="s">
        <v>244</v>
      </c>
      <c r="C122" s="71"/>
      <c r="D122"/>
      <c r="E122" s="71"/>
      <c r="F122" s="72"/>
      <c r="G122" s="72"/>
      <c r="H122"/>
      <c r="I122" s="71"/>
      <c r="J122" s="25"/>
      <c r="K122" s="24"/>
      <c r="L122" s="3"/>
      <c r="M122" s="73"/>
      <c r="N122" s="11"/>
      <c r="O122" s="24"/>
      <c r="P122" s="26" t="s">
        <v>245</v>
      </c>
      <c r="Q122" s="24"/>
      <c r="R122" s="3" t="s">
        <v>107</v>
      </c>
      <c r="S122" s="24"/>
      <c r="T122" s="3"/>
      <c r="V122" s="74"/>
      <c r="X122" s="74"/>
      <c r="Z122" s="74"/>
      <c r="AB122" s="74">
        <v>1</v>
      </c>
      <c r="AD122" s="74"/>
      <c r="AF122" s="74">
        <v>2</v>
      </c>
      <c r="AH122" s="74">
        <v>2</v>
      </c>
      <c r="AJ122" s="74">
        <v>2</v>
      </c>
      <c r="AL122" s="4" t="s">
        <v>243</v>
      </c>
    </row>
    <row r="123" spans="2:40" s="4" customFormat="1" ht="18.95">
      <c r="B123" t="s">
        <v>246</v>
      </c>
      <c r="C123" s="71"/>
      <c r="D123"/>
      <c r="E123" s="71"/>
      <c r="F123" s="72"/>
      <c r="G123" s="72"/>
      <c r="H123"/>
      <c r="I123" s="71"/>
      <c r="J123" s="25"/>
      <c r="K123" s="24"/>
      <c r="L123" s="3"/>
      <c r="M123" s="73"/>
      <c r="N123" s="11"/>
      <c r="O123" s="24"/>
      <c r="P123" s="26" t="s">
        <v>247</v>
      </c>
      <c r="Q123" s="24"/>
      <c r="R123" s="4" t="s">
        <v>111</v>
      </c>
      <c r="S123" s="24"/>
      <c r="V123" s="74"/>
      <c r="X123" s="74"/>
      <c r="Z123" s="74"/>
      <c r="AB123" s="74"/>
      <c r="AD123" s="74">
        <v>1</v>
      </c>
      <c r="AF123" s="74">
        <v>2</v>
      </c>
      <c r="AH123" s="74">
        <v>2</v>
      </c>
      <c r="AJ123" s="74">
        <v>2</v>
      </c>
      <c r="AL123" s="4" t="s">
        <v>243</v>
      </c>
      <c r="AN123" s="4" t="s">
        <v>78</v>
      </c>
    </row>
    <row r="124" spans="2:40" s="4" customFormat="1" ht="18.95">
      <c r="B124" t="s">
        <v>248</v>
      </c>
      <c r="C124" s="71"/>
      <c r="D124"/>
      <c r="E124" s="71"/>
      <c r="F124" s="72"/>
      <c r="G124" s="72"/>
      <c r="H124"/>
      <c r="I124" s="71"/>
      <c r="J124" s="25"/>
      <c r="K124" s="24"/>
      <c r="L124" s="3"/>
      <c r="M124" s="73"/>
      <c r="N124" s="11"/>
      <c r="O124" s="24"/>
      <c r="P124" s="25" t="s">
        <v>91</v>
      </c>
      <c r="Q124" s="24"/>
      <c r="R124" s="3" t="s">
        <v>233</v>
      </c>
      <c r="S124" s="24"/>
      <c r="X124" s="74"/>
      <c r="Z124" s="74"/>
      <c r="AB124" s="74"/>
      <c r="AD124" s="74"/>
      <c r="AF124" s="74"/>
      <c r="AH124" s="74"/>
      <c r="AJ124" s="74"/>
    </row>
    <row r="125" spans="2:40" s="4" customFormat="1" ht="18.95">
      <c r="B125" t="s">
        <v>249</v>
      </c>
      <c r="C125" s="71"/>
      <c r="D125"/>
      <c r="E125" s="71"/>
      <c r="F125" s="72"/>
      <c r="G125" s="72"/>
      <c r="H125"/>
      <c r="I125" s="71"/>
      <c r="J125" s="25"/>
      <c r="K125" s="24"/>
      <c r="L125" s="3"/>
      <c r="M125" s="73"/>
      <c r="N125" s="41" t="s">
        <v>52</v>
      </c>
      <c r="O125" s="42" t="str">
        <f t="shared" ref="O125" si="11">IF(N125=0,,".")</f>
        <v>.</v>
      </c>
      <c r="P125" s="44" t="s">
        <v>235</v>
      </c>
      <c r="Q125" s="42"/>
      <c r="R125" s="44"/>
      <c r="S125" s="42"/>
      <c r="T125" s="44"/>
      <c r="V125" s="75"/>
      <c r="X125" s="75"/>
      <c r="Z125" s="75"/>
      <c r="AB125" s="75"/>
      <c r="AD125" s="75"/>
      <c r="AF125" s="75"/>
      <c r="AH125" s="75"/>
      <c r="AJ125" s="75"/>
      <c r="AL125" s="44"/>
      <c r="AN125" s="44"/>
    </row>
    <row r="126" spans="2:40" s="4" customFormat="1" ht="18.95">
      <c r="B126" t="s">
        <v>250</v>
      </c>
      <c r="C126" s="71"/>
      <c r="D126"/>
      <c r="E126" s="71"/>
      <c r="F126" s="72"/>
      <c r="G126" s="72"/>
      <c r="H126"/>
      <c r="I126" s="71"/>
      <c r="J126" s="25"/>
      <c r="K126" s="24"/>
      <c r="L126" s="3"/>
      <c r="M126" s="73"/>
      <c r="N126" s="11"/>
      <c r="O126" s="24"/>
      <c r="P126" s="26" t="s">
        <v>49</v>
      </c>
      <c r="Q126" s="24"/>
      <c r="R126" s="3" t="s">
        <v>231</v>
      </c>
      <c r="S126" s="3"/>
      <c r="T126" s="24"/>
      <c r="V126" s="74">
        <v>1</v>
      </c>
      <c r="X126" s="74"/>
      <c r="Z126" s="74"/>
      <c r="AB126" s="74"/>
      <c r="AD126" s="74"/>
      <c r="AF126" s="74"/>
      <c r="AH126" s="74"/>
      <c r="AJ126" s="74"/>
      <c r="AL126" s="4" t="s">
        <v>251</v>
      </c>
    </row>
    <row r="127" spans="2:40" s="4" customFormat="1" ht="18.95">
      <c r="B127" t="s">
        <v>252</v>
      </c>
      <c r="C127" s="71"/>
      <c r="D127"/>
      <c r="E127" s="71"/>
      <c r="F127" s="72"/>
      <c r="G127" s="72"/>
      <c r="H127"/>
      <c r="I127" s="71"/>
      <c r="J127" s="25"/>
      <c r="K127" s="24"/>
      <c r="L127" s="3"/>
      <c r="M127" s="73"/>
      <c r="N127" s="11"/>
      <c r="O127" s="24"/>
      <c r="P127" s="26" t="s">
        <v>58</v>
      </c>
      <c r="Q127" s="24"/>
      <c r="R127" s="3" t="s">
        <v>102</v>
      </c>
      <c r="S127" s="24"/>
      <c r="T127" s="3"/>
      <c r="V127" s="74">
        <v>1</v>
      </c>
      <c r="X127" s="74"/>
      <c r="Z127" s="74"/>
      <c r="AB127" s="74"/>
      <c r="AD127" s="74"/>
      <c r="AF127" s="74">
        <v>3</v>
      </c>
      <c r="AH127" s="74"/>
      <c r="AJ127" s="74"/>
      <c r="AL127" s="4" t="s">
        <v>251</v>
      </c>
    </row>
    <row r="128" spans="2:40" s="4" customFormat="1" ht="18.95">
      <c r="B128" t="s">
        <v>253</v>
      </c>
      <c r="C128" s="71"/>
      <c r="D128"/>
      <c r="E128" s="71"/>
      <c r="F128" s="72"/>
      <c r="G128" s="72"/>
      <c r="H128"/>
      <c r="I128" s="71"/>
      <c r="J128" s="25"/>
      <c r="K128" s="24"/>
      <c r="L128" s="3"/>
      <c r="M128" s="73"/>
      <c r="N128" s="11"/>
      <c r="O128" s="24"/>
      <c r="P128" s="26" t="s">
        <v>87</v>
      </c>
      <c r="Q128" s="24"/>
      <c r="R128" s="3" t="s">
        <v>105</v>
      </c>
      <c r="S128" s="24"/>
      <c r="T128" s="3"/>
      <c r="V128" s="74"/>
      <c r="X128" s="74">
        <v>1</v>
      </c>
      <c r="Z128" s="74"/>
      <c r="AB128" s="74"/>
      <c r="AD128" s="74"/>
      <c r="AF128" s="74">
        <v>2</v>
      </c>
      <c r="AH128" s="74"/>
      <c r="AJ128" s="74"/>
      <c r="AL128" s="4" t="s">
        <v>251</v>
      </c>
    </row>
    <row r="129" spans="2:40" s="4" customFormat="1" ht="18.95">
      <c r="B129" t="s">
        <v>254</v>
      </c>
      <c r="C129" s="71"/>
      <c r="D129"/>
      <c r="E129" s="71"/>
      <c r="F129" s="72"/>
      <c r="G129" s="72"/>
      <c r="H129"/>
      <c r="I129" s="71"/>
      <c r="J129" s="25"/>
      <c r="K129" s="24"/>
      <c r="L129" s="3"/>
      <c r="M129" s="73"/>
      <c r="N129" s="11"/>
      <c r="O129" s="24"/>
      <c r="P129" s="26" t="s">
        <v>245</v>
      </c>
      <c r="Q129" s="24"/>
      <c r="R129" s="3" t="s">
        <v>107</v>
      </c>
      <c r="S129" s="24"/>
      <c r="T129" s="3"/>
      <c r="V129" s="74"/>
      <c r="X129" s="74"/>
      <c r="Z129" s="74">
        <v>1</v>
      </c>
      <c r="AB129" s="74"/>
      <c r="AD129" s="74"/>
      <c r="AF129" s="74">
        <v>2</v>
      </c>
      <c r="AH129" s="74">
        <v>2</v>
      </c>
      <c r="AJ129" s="74"/>
      <c r="AL129" s="4" t="s">
        <v>243</v>
      </c>
    </row>
    <row r="130" spans="2:40" s="4" customFormat="1" ht="18.95">
      <c r="B130" t="s">
        <v>255</v>
      </c>
      <c r="C130" s="71"/>
      <c r="D130"/>
      <c r="E130" s="71"/>
      <c r="F130" s="72"/>
      <c r="G130" s="72"/>
      <c r="H130"/>
      <c r="I130" s="71"/>
      <c r="J130" s="34"/>
      <c r="K130" s="35"/>
      <c r="L130" s="36"/>
      <c r="M130" s="85"/>
      <c r="N130" s="37"/>
      <c r="O130" s="35"/>
      <c r="P130" s="38" t="s">
        <v>247</v>
      </c>
      <c r="Q130" s="35"/>
      <c r="R130" s="39" t="s">
        <v>111</v>
      </c>
      <c r="S130" s="35"/>
      <c r="T130" s="39"/>
      <c r="V130" s="86"/>
      <c r="X130" s="86"/>
      <c r="Z130" s="86"/>
      <c r="AB130" s="86">
        <v>1</v>
      </c>
      <c r="AD130" s="86"/>
      <c r="AF130" s="86">
        <v>2</v>
      </c>
      <c r="AH130" s="86">
        <v>2</v>
      </c>
      <c r="AJ130" s="86">
        <v>2</v>
      </c>
      <c r="AL130" s="4" t="s">
        <v>243</v>
      </c>
      <c r="AN130" s="39"/>
    </row>
    <row r="131" spans="2:40" s="4" customFormat="1" ht="18.95">
      <c r="B131" t="s">
        <v>256</v>
      </c>
      <c r="C131" s="71"/>
      <c r="D131"/>
      <c r="E131" s="71"/>
      <c r="F131" s="72"/>
      <c r="G131" s="72"/>
      <c r="H131"/>
      <c r="I131" s="71"/>
      <c r="J131" s="54" t="s">
        <v>257</v>
      </c>
      <c r="K131" s="55" t="str">
        <f t="shared" si="1"/>
        <v>.</v>
      </c>
      <c r="L131" s="56" t="s">
        <v>258</v>
      </c>
      <c r="M131" s="79"/>
      <c r="N131" s="57" t="s">
        <v>43</v>
      </c>
      <c r="O131" s="55" t="str">
        <f t="shared" ref="O131:O149" si="12">IF(N131=0,,".")</f>
        <v>.</v>
      </c>
      <c r="P131" s="58" t="s">
        <v>259</v>
      </c>
      <c r="Q131" s="55"/>
      <c r="R131" s="58"/>
      <c r="S131" s="55"/>
      <c r="T131" s="58"/>
      <c r="V131" s="89"/>
      <c r="X131" s="89"/>
      <c r="Z131" s="89"/>
      <c r="AB131" s="89"/>
      <c r="AD131" s="89"/>
      <c r="AF131" s="89"/>
      <c r="AH131" s="89"/>
      <c r="AJ131" s="89"/>
      <c r="AL131" s="58"/>
      <c r="AN131" s="58"/>
    </row>
    <row r="132" spans="2:40" s="4" customFormat="1" ht="18.95">
      <c r="B132" t="s">
        <v>260</v>
      </c>
      <c r="C132" s="71"/>
      <c r="D132"/>
      <c r="E132" s="71"/>
      <c r="F132" s="72"/>
      <c r="G132" s="72"/>
      <c r="H132"/>
      <c r="I132" s="71"/>
      <c r="J132" s="25"/>
      <c r="K132" s="24"/>
      <c r="L132" s="3"/>
      <c r="M132" s="73"/>
      <c r="N132" s="11"/>
      <c r="O132" s="24">
        <f t="shared" si="12"/>
        <v>0</v>
      </c>
      <c r="P132" s="26" t="s">
        <v>49</v>
      </c>
      <c r="Q132" s="24"/>
      <c r="R132" s="4" t="s">
        <v>261</v>
      </c>
      <c r="S132" s="24"/>
      <c r="V132" s="74">
        <v>1</v>
      </c>
      <c r="X132" s="74"/>
      <c r="Z132" s="74"/>
      <c r="AB132" s="74"/>
      <c r="AD132" s="74"/>
      <c r="AF132" s="74"/>
      <c r="AH132" s="74"/>
      <c r="AJ132" s="74"/>
      <c r="AL132" s="4" t="s">
        <v>262</v>
      </c>
    </row>
    <row r="133" spans="2:40" s="4" customFormat="1" ht="18.95">
      <c r="B133" t="s">
        <v>263</v>
      </c>
      <c r="C133" s="71"/>
      <c r="D133"/>
      <c r="E133" s="71"/>
      <c r="F133" s="72"/>
      <c r="G133" s="72"/>
      <c r="H133"/>
      <c r="I133" s="71"/>
      <c r="J133" s="25"/>
      <c r="K133" s="24"/>
      <c r="L133" s="3"/>
      <c r="M133" s="73"/>
      <c r="N133" s="11"/>
      <c r="O133" s="24">
        <f t="shared" si="12"/>
        <v>0</v>
      </c>
      <c r="P133" s="26" t="s">
        <v>196</v>
      </c>
      <c r="Q133" s="24"/>
      <c r="R133" s="4" t="s">
        <v>264</v>
      </c>
      <c r="S133" s="24"/>
      <c r="V133" s="74"/>
      <c r="X133" s="74">
        <v>1</v>
      </c>
      <c r="Z133" s="74"/>
      <c r="AB133" s="74"/>
      <c r="AD133" s="74"/>
      <c r="AF133" s="74"/>
      <c r="AH133" s="74"/>
      <c r="AJ133" s="74"/>
      <c r="AL133" s="4" t="s">
        <v>262</v>
      </c>
    </row>
    <row r="134" spans="2:40" s="4" customFormat="1" ht="18.95">
      <c r="B134" t="s">
        <v>265</v>
      </c>
      <c r="C134" s="71"/>
      <c r="D134"/>
      <c r="E134" s="71"/>
      <c r="F134" s="72"/>
      <c r="G134" s="72"/>
      <c r="H134"/>
      <c r="I134" s="71"/>
      <c r="J134" s="25"/>
      <c r="K134" s="24"/>
      <c r="L134" s="3"/>
      <c r="M134" s="73"/>
      <c r="N134" s="27"/>
      <c r="O134" s="28"/>
      <c r="P134" s="29" t="s">
        <v>87</v>
      </c>
      <c r="Q134" s="28"/>
      <c r="R134" s="6" t="s">
        <v>266</v>
      </c>
      <c r="S134" s="28"/>
      <c r="T134" s="6"/>
      <c r="V134" s="90"/>
      <c r="X134" s="90"/>
      <c r="Z134" s="90"/>
      <c r="AB134" s="90"/>
      <c r="AD134" s="90"/>
      <c r="AF134" s="90">
        <v>2</v>
      </c>
      <c r="AH134" s="90"/>
      <c r="AJ134" s="90"/>
      <c r="AL134" s="6" t="s">
        <v>267</v>
      </c>
      <c r="AN134" s="6" t="s">
        <v>268</v>
      </c>
    </row>
    <row r="135" spans="2:40" s="4" customFormat="1" ht="18.95">
      <c r="B135" t="s">
        <v>269</v>
      </c>
      <c r="C135" s="71"/>
      <c r="D135"/>
      <c r="E135" s="71"/>
      <c r="F135" s="72"/>
      <c r="G135" s="72"/>
      <c r="H135"/>
      <c r="I135" s="71"/>
      <c r="J135" s="25"/>
      <c r="K135" s="24"/>
      <c r="L135" s="3"/>
      <c r="M135" s="73"/>
      <c r="N135" s="41" t="s">
        <v>52</v>
      </c>
      <c r="O135" s="42" t="str">
        <f t="shared" si="12"/>
        <v>.</v>
      </c>
      <c r="P135" s="44" t="s">
        <v>270</v>
      </c>
      <c r="Q135" s="42"/>
      <c r="R135" s="44"/>
      <c r="S135" s="42"/>
      <c r="T135" s="44"/>
      <c r="V135" s="75"/>
      <c r="X135" s="75"/>
      <c r="Z135" s="75"/>
      <c r="AB135" s="75"/>
      <c r="AD135" s="75"/>
      <c r="AF135" s="75"/>
      <c r="AH135" s="75"/>
      <c r="AJ135" s="75"/>
      <c r="AL135" s="44"/>
      <c r="AN135" s="44"/>
    </row>
    <row r="136" spans="2:40" s="4" customFormat="1" ht="18.95">
      <c r="B136" t="s">
        <v>271</v>
      </c>
      <c r="C136" s="71"/>
      <c r="D136"/>
      <c r="E136" s="71"/>
      <c r="F136" s="72"/>
      <c r="G136" s="72"/>
      <c r="H136"/>
      <c r="I136" s="71"/>
      <c r="J136" s="25"/>
      <c r="K136" s="24"/>
      <c r="L136" s="3"/>
      <c r="M136" s="73"/>
      <c r="N136" s="11"/>
      <c r="O136" s="24">
        <f t="shared" si="12"/>
        <v>0</v>
      </c>
      <c r="P136" s="26" t="s">
        <v>49</v>
      </c>
      <c r="Q136" s="24"/>
      <c r="R136" s="4" t="s">
        <v>272</v>
      </c>
      <c r="S136" s="24"/>
      <c r="V136" s="74"/>
      <c r="X136" s="74">
        <v>1</v>
      </c>
      <c r="Z136" s="74"/>
      <c r="AB136" s="74"/>
      <c r="AD136" s="74"/>
      <c r="AF136" s="74"/>
      <c r="AH136" s="74"/>
      <c r="AJ136" s="74"/>
      <c r="AL136" s="4" t="s">
        <v>262</v>
      </c>
    </row>
    <row r="137" spans="2:40" s="4" customFormat="1" ht="18.95">
      <c r="B137" t="s">
        <v>273</v>
      </c>
      <c r="C137" s="71"/>
      <c r="D137"/>
      <c r="E137" s="71"/>
      <c r="F137" s="72"/>
      <c r="G137" s="72"/>
      <c r="H137"/>
      <c r="I137" s="71"/>
      <c r="J137" s="25"/>
      <c r="K137" s="24"/>
      <c r="L137" s="3"/>
      <c r="M137" s="73"/>
      <c r="N137" s="11"/>
      <c r="O137" s="24"/>
      <c r="P137" s="26" t="s">
        <v>196</v>
      </c>
      <c r="Q137" s="24"/>
      <c r="R137" s="4" t="s">
        <v>274</v>
      </c>
      <c r="S137" s="24"/>
      <c r="V137" s="74"/>
      <c r="X137" s="74"/>
      <c r="Z137" s="74">
        <v>1</v>
      </c>
      <c r="AB137" s="74"/>
      <c r="AD137" s="74"/>
      <c r="AF137" s="74"/>
      <c r="AH137" s="74"/>
      <c r="AJ137" s="74"/>
      <c r="AL137" s="4" t="s">
        <v>262</v>
      </c>
    </row>
    <row r="138" spans="2:40" s="4" customFormat="1" ht="18.95">
      <c r="B138" t="s">
        <v>275</v>
      </c>
      <c r="C138" s="71"/>
      <c r="D138"/>
      <c r="E138" s="71"/>
      <c r="F138" s="72"/>
      <c r="G138" s="72"/>
      <c r="H138"/>
      <c r="I138" s="71"/>
      <c r="J138" s="25"/>
      <c r="K138" s="24"/>
      <c r="L138" s="3"/>
      <c r="M138" s="73"/>
      <c r="N138" s="11"/>
      <c r="O138" s="24">
        <f t="shared" si="12"/>
        <v>0</v>
      </c>
      <c r="P138" s="26" t="s">
        <v>87</v>
      </c>
      <c r="Q138" s="24"/>
      <c r="R138" s="4" t="s">
        <v>266</v>
      </c>
      <c r="S138" s="24"/>
      <c r="V138" s="74"/>
      <c r="X138" s="74"/>
      <c r="Z138" s="74"/>
      <c r="AB138" s="74"/>
      <c r="AD138" s="74"/>
      <c r="AF138" s="74">
        <v>2</v>
      </c>
      <c r="AH138" s="74"/>
      <c r="AJ138" s="74"/>
      <c r="AL138" s="4" t="s">
        <v>267</v>
      </c>
      <c r="AN138" s="4" t="s">
        <v>268</v>
      </c>
    </row>
    <row r="139" spans="2:40" s="4" customFormat="1" ht="18.95">
      <c r="B139" t="s">
        <v>276</v>
      </c>
      <c r="C139" s="71"/>
      <c r="D139"/>
      <c r="E139" s="71"/>
      <c r="F139" s="72"/>
      <c r="G139" s="72"/>
      <c r="H139"/>
      <c r="I139" s="71"/>
      <c r="J139" s="25"/>
      <c r="K139" s="24"/>
      <c r="L139" s="3"/>
      <c r="M139" s="73"/>
      <c r="N139" s="41" t="s">
        <v>61</v>
      </c>
      <c r="O139" s="42" t="str">
        <f t="shared" si="12"/>
        <v>.</v>
      </c>
      <c r="P139" s="44" t="s">
        <v>277</v>
      </c>
      <c r="Q139" s="42"/>
      <c r="R139" s="44"/>
      <c r="S139" s="42"/>
      <c r="T139" s="44"/>
      <c r="V139" s="75"/>
      <c r="X139" s="75"/>
      <c r="Z139" s="75"/>
      <c r="AB139" s="75"/>
      <c r="AD139" s="75"/>
      <c r="AF139" s="75"/>
      <c r="AH139" s="75"/>
      <c r="AJ139" s="75"/>
      <c r="AL139" s="44"/>
      <c r="AN139" s="44"/>
    </row>
    <row r="140" spans="2:40" s="4" customFormat="1" ht="18.95">
      <c r="B140" t="s">
        <v>278</v>
      </c>
      <c r="C140" s="71"/>
      <c r="D140"/>
      <c r="E140" s="71"/>
      <c r="F140" s="72"/>
      <c r="G140" s="72"/>
      <c r="H140"/>
      <c r="I140" s="71"/>
      <c r="J140" s="25"/>
      <c r="K140" s="24"/>
      <c r="L140" s="3"/>
      <c r="M140" s="73"/>
      <c r="N140" s="11"/>
      <c r="O140" s="24"/>
      <c r="P140" s="26" t="s">
        <v>49</v>
      </c>
      <c r="Q140" s="24"/>
      <c r="R140" s="3" t="s">
        <v>219</v>
      </c>
      <c r="S140" s="24"/>
      <c r="T140" s="3"/>
      <c r="V140" s="74">
        <v>1</v>
      </c>
      <c r="X140" s="74"/>
      <c r="Z140" s="74"/>
      <c r="AB140" s="74"/>
      <c r="AD140" s="74"/>
      <c r="AF140" s="74"/>
      <c r="AH140" s="74"/>
      <c r="AJ140" s="74"/>
    </row>
    <row r="141" spans="2:40" s="4" customFormat="1" ht="18.95">
      <c r="B141" t="s">
        <v>279</v>
      </c>
      <c r="C141" s="71"/>
      <c r="D141"/>
      <c r="E141" s="71"/>
      <c r="F141" s="72"/>
      <c r="G141" s="72"/>
      <c r="H141"/>
      <c r="I141" s="71"/>
      <c r="J141" s="34"/>
      <c r="K141" s="35"/>
      <c r="L141" s="36"/>
      <c r="M141" s="85"/>
      <c r="N141" s="37"/>
      <c r="O141" s="35"/>
      <c r="P141" s="38" t="s">
        <v>58</v>
      </c>
      <c r="Q141" s="35"/>
      <c r="R141" s="36" t="s">
        <v>280</v>
      </c>
      <c r="S141" s="35"/>
      <c r="T141" s="36"/>
      <c r="V141" s="86"/>
      <c r="X141" s="86">
        <v>1</v>
      </c>
      <c r="Z141" s="86"/>
      <c r="AB141" s="86"/>
      <c r="AD141" s="86"/>
      <c r="AF141" s="86"/>
      <c r="AH141" s="86"/>
      <c r="AJ141" s="86"/>
      <c r="AL141" s="39"/>
      <c r="AN141" s="39"/>
    </row>
    <row r="142" spans="2:40" s="4" customFormat="1" ht="18.95">
      <c r="B142" t="s">
        <v>281</v>
      </c>
      <c r="C142" s="71"/>
      <c r="D142"/>
      <c r="E142" s="71"/>
      <c r="F142" s="72"/>
      <c r="G142" s="72"/>
      <c r="H142"/>
      <c r="I142" s="71"/>
      <c r="J142" s="25" t="s">
        <v>282</v>
      </c>
      <c r="K142" s="24" t="str">
        <f t="shared" si="1"/>
        <v>.</v>
      </c>
      <c r="L142" s="3" t="s">
        <v>283</v>
      </c>
      <c r="M142" s="73"/>
      <c r="N142" s="11" t="s">
        <v>43</v>
      </c>
      <c r="O142" s="24" t="str">
        <f t="shared" si="12"/>
        <v>.</v>
      </c>
      <c r="P142" s="3" t="s">
        <v>284</v>
      </c>
      <c r="Q142" s="24"/>
      <c r="S142" s="24"/>
      <c r="V142" s="74"/>
      <c r="X142" s="74"/>
      <c r="Z142" s="74"/>
      <c r="AB142" s="74"/>
      <c r="AD142" s="74"/>
      <c r="AF142" s="74"/>
      <c r="AH142" s="74"/>
      <c r="AJ142" s="74"/>
    </row>
    <row r="143" spans="2:40" s="4" customFormat="1" ht="18.95">
      <c r="B143" t="s">
        <v>285</v>
      </c>
      <c r="C143" s="71"/>
      <c r="D143"/>
      <c r="E143" s="71"/>
      <c r="F143" s="72"/>
      <c r="G143" s="72"/>
      <c r="H143"/>
      <c r="I143" s="71"/>
      <c r="J143" s="25"/>
      <c r="K143" s="24"/>
      <c r="L143" s="3"/>
      <c r="M143" s="73"/>
      <c r="N143" s="11"/>
      <c r="O143" s="24">
        <f t="shared" si="12"/>
        <v>0</v>
      </c>
      <c r="P143" s="26" t="s">
        <v>49</v>
      </c>
      <c r="Q143" s="24"/>
      <c r="R143" s="4" t="s">
        <v>286</v>
      </c>
      <c r="S143" s="24"/>
      <c r="V143" s="74">
        <v>1</v>
      </c>
      <c r="X143" s="74"/>
      <c r="Z143" s="74"/>
      <c r="AB143" s="74"/>
      <c r="AD143" s="74"/>
      <c r="AF143" s="74">
        <v>3</v>
      </c>
      <c r="AH143" s="74"/>
      <c r="AJ143" s="74"/>
    </row>
    <row r="144" spans="2:40" s="4" customFormat="1" ht="19.5" customHeight="1">
      <c r="B144" t="s">
        <v>287</v>
      </c>
      <c r="C144" s="71"/>
      <c r="D144"/>
      <c r="E144" s="71"/>
      <c r="F144" s="72"/>
      <c r="G144" s="72"/>
      <c r="H144"/>
      <c r="I144" s="71"/>
      <c r="J144" s="25"/>
      <c r="K144" s="24"/>
      <c r="L144" s="3"/>
      <c r="M144" s="73"/>
      <c r="N144" s="27"/>
      <c r="O144" s="28">
        <f t="shared" si="12"/>
        <v>0</v>
      </c>
      <c r="P144" s="29" t="s">
        <v>196</v>
      </c>
      <c r="Q144" s="28"/>
      <c r="R144" s="6" t="s">
        <v>288</v>
      </c>
      <c r="S144" s="28"/>
      <c r="T144" s="6"/>
      <c r="V144" s="90">
        <v>1</v>
      </c>
      <c r="X144" s="90"/>
      <c r="Z144" s="90"/>
      <c r="AB144" s="90"/>
      <c r="AD144" s="90"/>
      <c r="AF144" s="90">
        <v>3</v>
      </c>
      <c r="AH144" s="90"/>
      <c r="AJ144" s="90"/>
      <c r="AL144" s="6"/>
      <c r="AN144" s="6"/>
    </row>
    <row r="145" spans="2:40" s="4" customFormat="1" ht="18.95">
      <c r="B145" t="s">
        <v>289</v>
      </c>
      <c r="C145" s="71"/>
      <c r="D145"/>
      <c r="E145" s="71"/>
      <c r="F145" s="72"/>
      <c r="G145" s="72"/>
      <c r="H145"/>
      <c r="I145" s="71"/>
      <c r="J145" s="25"/>
      <c r="K145" s="24"/>
      <c r="L145" s="3"/>
      <c r="M145" s="73"/>
      <c r="N145" s="41" t="s">
        <v>52</v>
      </c>
      <c r="O145" s="42" t="str">
        <f t="shared" si="12"/>
        <v>.</v>
      </c>
      <c r="P145" s="43" t="s">
        <v>290</v>
      </c>
      <c r="Q145" s="42"/>
      <c r="R145" s="44"/>
      <c r="S145" s="42"/>
      <c r="T145" s="44"/>
      <c r="V145" s="75"/>
      <c r="X145" s="75"/>
      <c r="Z145" s="75"/>
      <c r="AB145" s="75"/>
      <c r="AD145" s="75"/>
      <c r="AF145" s="75"/>
      <c r="AH145" s="75"/>
      <c r="AJ145" s="75"/>
      <c r="AL145" s="44"/>
      <c r="AN145" s="44"/>
    </row>
    <row r="146" spans="2:40" s="4" customFormat="1" ht="18.95">
      <c r="B146" t="s">
        <v>291</v>
      </c>
      <c r="C146" s="71"/>
      <c r="D146"/>
      <c r="E146" s="71"/>
      <c r="F146" s="72"/>
      <c r="G146" s="72"/>
      <c r="H146"/>
      <c r="I146" s="71"/>
      <c r="J146" s="25"/>
      <c r="K146" s="24"/>
      <c r="L146" s="3"/>
      <c r="M146" s="73"/>
      <c r="N146" s="11"/>
      <c r="O146" s="24">
        <f t="shared" si="12"/>
        <v>0</v>
      </c>
      <c r="P146" s="26" t="s">
        <v>49</v>
      </c>
      <c r="Q146" s="24"/>
      <c r="R146" s="4" t="s">
        <v>219</v>
      </c>
      <c r="S146" s="24"/>
      <c r="V146" s="74">
        <v>1</v>
      </c>
      <c r="X146" s="74"/>
      <c r="Z146" s="74"/>
      <c r="AB146" s="74"/>
      <c r="AD146" s="74"/>
      <c r="AF146" s="74"/>
      <c r="AH146" s="74"/>
      <c r="AJ146" s="74"/>
    </row>
    <row r="147" spans="2:40" s="4" customFormat="1" ht="18.95">
      <c r="B147" t="s">
        <v>292</v>
      </c>
      <c r="C147" s="71"/>
      <c r="D147"/>
      <c r="E147" s="71"/>
      <c r="F147" s="72"/>
      <c r="G147" s="72"/>
      <c r="H147"/>
      <c r="I147" s="71"/>
      <c r="J147" s="25"/>
      <c r="K147" s="24"/>
      <c r="L147" s="3"/>
      <c r="M147" s="73"/>
      <c r="N147" s="27"/>
      <c r="O147" s="28">
        <f t="shared" si="12"/>
        <v>0</v>
      </c>
      <c r="P147" s="29" t="s">
        <v>196</v>
      </c>
      <c r="Q147" s="28"/>
      <c r="R147" s="6" t="s">
        <v>280</v>
      </c>
      <c r="S147" s="28"/>
      <c r="T147" s="6"/>
      <c r="V147" s="90"/>
      <c r="X147" s="90">
        <v>1</v>
      </c>
      <c r="Z147" s="90"/>
      <c r="AB147" s="90"/>
      <c r="AD147" s="90"/>
      <c r="AF147" s="90">
        <v>3</v>
      </c>
      <c r="AH147" s="90"/>
      <c r="AJ147" s="90"/>
      <c r="AL147" s="6"/>
      <c r="AN147" s="6"/>
    </row>
    <row r="148" spans="2:40" s="4" customFormat="1" ht="18.95">
      <c r="B148" t="s">
        <v>293</v>
      </c>
      <c r="C148" s="71"/>
      <c r="D148"/>
      <c r="E148" s="71"/>
      <c r="F148" s="72"/>
      <c r="G148" s="72"/>
      <c r="H148"/>
      <c r="I148" s="71"/>
      <c r="J148" s="25"/>
      <c r="K148" s="24"/>
      <c r="L148" s="3"/>
      <c r="M148" s="73"/>
      <c r="N148" s="41" t="s">
        <v>61</v>
      </c>
      <c r="O148" s="42" t="str">
        <f t="shared" si="12"/>
        <v>.</v>
      </c>
      <c r="P148" s="43" t="s">
        <v>294</v>
      </c>
      <c r="Q148" s="42"/>
      <c r="R148" s="44"/>
      <c r="S148" s="42"/>
      <c r="T148" s="44"/>
      <c r="V148" s="75"/>
      <c r="X148" s="75"/>
      <c r="Z148" s="75"/>
      <c r="AB148" s="75"/>
      <c r="AD148" s="75"/>
      <c r="AF148" s="75"/>
      <c r="AH148" s="75"/>
      <c r="AJ148" s="75"/>
      <c r="AL148" s="44"/>
      <c r="AN148" s="44"/>
    </row>
    <row r="149" spans="2:40" s="4" customFormat="1" ht="18.95">
      <c r="B149" t="s">
        <v>295</v>
      </c>
      <c r="C149" s="71"/>
      <c r="D149"/>
      <c r="E149" s="71"/>
      <c r="F149" s="72"/>
      <c r="G149" s="72"/>
      <c r="H149"/>
      <c r="I149" s="71"/>
      <c r="J149" s="25"/>
      <c r="K149" s="24"/>
      <c r="L149" s="3"/>
      <c r="M149" s="73"/>
      <c r="N149" s="11"/>
      <c r="O149" s="24">
        <f t="shared" si="12"/>
        <v>0</v>
      </c>
      <c r="P149" s="26" t="s">
        <v>49</v>
      </c>
      <c r="Q149" s="24"/>
      <c r="R149" s="4" t="s">
        <v>296</v>
      </c>
      <c r="S149" s="24"/>
      <c r="V149" s="74">
        <v>1</v>
      </c>
      <c r="X149" s="74"/>
      <c r="Z149" s="74"/>
      <c r="AB149" s="74"/>
      <c r="AD149" s="74"/>
      <c r="AF149" s="74"/>
      <c r="AH149" s="74"/>
      <c r="AJ149" s="74"/>
      <c r="AL149" s="4" t="s">
        <v>297</v>
      </c>
    </row>
    <row r="150" spans="2:40" s="4" customFormat="1" ht="20.100000000000001" customHeight="1">
      <c r="B150" t="s">
        <v>298</v>
      </c>
      <c r="C150" s="71"/>
      <c r="D150"/>
      <c r="E150" s="71"/>
      <c r="F150" s="72"/>
      <c r="G150" s="72"/>
      <c r="H150"/>
      <c r="I150" s="71"/>
      <c r="J150" s="34"/>
      <c r="K150" s="35"/>
      <c r="L150" s="36"/>
      <c r="M150" s="85"/>
      <c r="N150" s="37"/>
      <c r="O150" s="35"/>
      <c r="P150" s="38" t="s">
        <v>58</v>
      </c>
      <c r="Q150" s="35"/>
      <c r="R150" s="39" t="s">
        <v>299</v>
      </c>
      <c r="S150" s="35"/>
      <c r="T150" s="39"/>
      <c r="V150" s="86"/>
      <c r="X150" s="86">
        <v>1</v>
      </c>
      <c r="Z150" s="86"/>
      <c r="AB150" s="86"/>
      <c r="AD150" s="86"/>
      <c r="AF150" s="86"/>
      <c r="AH150" s="86"/>
      <c r="AJ150" s="86"/>
      <c r="AL150" s="39" t="s">
        <v>297</v>
      </c>
      <c r="AN150" s="39"/>
    </row>
    <row r="151" spans="2:40">
      <c r="AH151" s="5"/>
    </row>
  </sheetData>
  <mergeCells count="3">
    <mergeCell ref="V29:AD29"/>
    <mergeCell ref="AE29:AJ29"/>
    <mergeCell ref="AL39:AL43"/>
  </mergeCells>
  <phoneticPr fontId="2" type="noConversion"/>
  <printOptions horizontalCentered="1"/>
  <pageMargins left="0" right="0" top="0.39370078740157483" bottom="0.39370078740157483" header="0" footer="0"/>
  <pageSetup paperSize="8" scale="35" fitToHeight="0" orientation="landscape" r:id="rId1"/>
  <rowBreaks count="1" manualBreakCount="1">
    <brk id="88" max="39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859" id="{54434C14-2CB2-4846-8287-E02E57F1B218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igns" iconId="0"/>
              <x14:cfIcon iconSet="3Stars" iconId="2"/>
            </x14:iconSet>
          </x14:cfRule>
          <xm:sqref>V125:V183 V47 V31:V38 X31:X38 X47 Z47 Z31:Z38 AB31:AB38 AB47 AD47 AD31:AD38 AF47 AF31:AF38 AJ31:AJ38 AJ47 X53:X183 V53:V123 Z53:Z183 AB53:AB183 AD53:AD183 AF53:AF183 AJ53:AJ183</xm:sqref>
        </x14:conditionalFormatting>
        <x14:conditionalFormatting xmlns:xm="http://schemas.microsoft.com/office/excel/2006/main">
          <x14:cfRule type="iconSet" priority="18" id="{EC8EC609-F984-4BAF-8A9B-A1213C735EDD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igns" iconId="0"/>
              <x14:cfIcon iconSet="3Stars" iconId="2"/>
            </x14:iconSet>
          </x14:cfRule>
          <xm:sqref>AF39:AF43 V39:V43 V45:V46 X45:X46 X39:X43 Z39:Z43 Z45:Z46 AB45:AB46 AB39:AB43 AD39:AD43 AD45:AD46 AF45:AF46 AJ45:AJ46 AJ39:AJ43</xm:sqref>
        </x14:conditionalFormatting>
        <x14:conditionalFormatting xmlns:xm="http://schemas.microsoft.com/office/excel/2006/main">
          <x14:cfRule type="iconSet" priority="17" id="{098067DC-C75F-4E7F-A851-27CFE7C50D2C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igns" iconId="0"/>
              <x14:cfIcon iconSet="3Stars" iconId="2"/>
            </x14:iconSet>
          </x14:cfRule>
          <xm:sqref>AF44 V44 X44 Z44 AB44 AD44 AJ44</xm:sqref>
        </x14:conditionalFormatting>
        <x14:conditionalFormatting xmlns:xm="http://schemas.microsoft.com/office/excel/2006/main">
          <x14:cfRule type="iconSet" priority="19" id="{742EAB4D-F18C-4FD0-9BAE-B4FC497C680E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igns" iconId="0"/>
              <x14:cfIcon iconSet="3Stars" iconId="2"/>
            </x14:iconSet>
          </x14:cfRule>
          <xm:sqref>AF48:AF52 V48:V52 X48:X52 Z48:Z52 AB48:AB52 AD48:AD52 AJ48:AJ52</xm:sqref>
        </x14:conditionalFormatting>
        <x14:conditionalFormatting xmlns:xm="http://schemas.microsoft.com/office/excel/2006/main">
          <x14:cfRule type="iconSet" priority="1" id="{2F4FDEC9-3F4F-448B-9104-BD23EF9DAA66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igns" iconId="0"/>
              <x14:cfIcon iconSet="3Stars" iconId="2"/>
            </x14:iconSet>
          </x14:cfRule>
          <xm:sqref>AH30</xm:sqref>
        </x14:conditionalFormatting>
        <x14:conditionalFormatting xmlns:xm="http://schemas.microsoft.com/office/excel/2006/main">
          <x14:cfRule type="iconSet" priority="10" id="{701C394E-400A-44C8-81B8-FBBD0DAD4475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igns" iconId="0"/>
              <x14:cfIcon iconSet="3Stars" iconId="2"/>
            </x14:iconSet>
          </x14:cfRule>
          <xm:sqref>AH31:AH38</xm:sqref>
        </x14:conditionalFormatting>
        <x14:conditionalFormatting xmlns:xm="http://schemas.microsoft.com/office/excel/2006/main">
          <x14:cfRule type="iconSet" priority="9" id="{D4E2C9D5-0994-438C-B741-9421B8B875DD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igns" iconId="0"/>
              <x14:cfIcon iconSet="3Stars" iconId="2"/>
            </x14:iconSet>
          </x14:cfRule>
          <xm:sqref>AH39:AH40</xm:sqref>
        </x14:conditionalFormatting>
        <x14:conditionalFormatting xmlns:xm="http://schemas.microsoft.com/office/excel/2006/main">
          <x14:cfRule type="iconSet" priority="3" id="{1969D5D6-9152-47EE-8B7F-F83F4AEF5F32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igns" iconId="0"/>
              <x14:cfIcon iconSet="3Stars" iconId="2"/>
            </x14:iconSet>
          </x14:cfRule>
          <xm:sqref>AH44</xm:sqref>
        </x14:conditionalFormatting>
        <x14:conditionalFormatting xmlns:xm="http://schemas.microsoft.com/office/excel/2006/main">
          <x14:cfRule type="iconSet" priority="4" id="{F0C78B0E-8CF9-4C84-BDE0-9012DDCA9F47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igns" iconId="0"/>
              <x14:cfIcon iconSet="3Stars" iconId="2"/>
            </x14:iconSet>
          </x14:cfRule>
          <xm:sqref>AH45:AH46 AH41:AH43</xm:sqref>
        </x14:conditionalFormatting>
        <x14:conditionalFormatting xmlns:xm="http://schemas.microsoft.com/office/excel/2006/main">
          <x14:cfRule type="iconSet" priority="888" id="{31C49191-FD31-45DA-A5FF-2FBF060FAF4F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igns" iconId="0"/>
              <x14:cfIcon iconSet="3Stars" iconId="2"/>
            </x14:iconSet>
          </x14:cfRule>
          <xm:sqref>AH47 AH53:AH150</xm:sqref>
        </x14:conditionalFormatting>
        <x14:conditionalFormatting xmlns:xm="http://schemas.microsoft.com/office/excel/2006/main">
          <x14:cfRule type="iconSet" priority="5" id="{F865353F-423B-4298-BE01-C188D2C0FC9D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igns" iconId="0"/>
              <x14:cfIcon iconSet="3Stars" iconId="2"/>
            </x14:iconSet>
          </x14:cfRule>
          <xm:sqref>AH48:AH52</xm:sqref>
        </x14:conditionalFormatting>
        <x14:conditionalFormatting xmlns:xm="http://schemas.microsoft.com/office/excel/2006/main">
          <x14:cfRule type="iconSet" priority="890" id="{E36FD59B-78A9-4A5F-BFA1-8D29EAC9656D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igns" iconId="0"/>
              <x14:cfIcon iconSet="3Stars" iconId="2"/>
            </x14:iconSet>
          </x14:cfRule>
          <xm:sqref>AH151</xm:sqref>
        </x14:conditionalFormatting>
        <x14:conditionalFormatting xmlns:xm="http://schemas.microsoft.com/office/excel/2006/main">
          <x14:cfRule type="iconSet" priority="2" id="{6EE9AC56-0966-4EEB-9AA0-8ECA50EDD6B4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igns" iconId="0"/>
              <x14:cfIcon iconSet="3Stars" iconId="2"/>
            </x14:iconSet>
          </x14:cfRule>
          <xm:sqref>AJ30 AF30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2f5f527-81e4-49f4-a8e9-b1c8807e1ffa">
      <Terms xmlns="http://schemas.microsoft.com/office/infopath/2007/PartnerControls"/>
    </lcf76f155ced4ddcb4097134ff3c332f>
    <TaxCatchAll xmlns="f0d1f4b1-b14a-48e6-8741-2b3f9d01e0a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0CB1E882CAD3044876A9779843AF68A" ma:contentTypeVersion="13" ma:contentTypeDescription="새 문서를 만듭니다." ma:contentTypeScope="" ma:versionID="b62516846f1a645c51a1d2b357f17ea3">
  <xsd:schema xmlns:xsd="http://www.w3.org/2001/XMLSchema" xmlns:xs="http://www.w3.org/2001/XMLSchema" xmlns:p="http://schemas.microsoft.com/office/2006/metadata/properties" xmlns:ns2="a2f5f527-81e4-49f4-a8e9-b1c8807e1ffa" xmlns:ns3="f0d1f4b1-b14a-48e6-8741-2b3f9d01e0a9" targetNamespace="http://schemas.microsoft.com/office/2006/metadata/properties" ma:root="true" ma:fieldsID="10406f9f10866ee0a7edcdab1c8d17ac" ns2:_="" ns3:_="">
    <xsd:import namespace="a2f5f527-81e4-49f4-a8e9-b1c8807e1ffa"/>
    <xsd:import namespace="f0d1f4b1-b14a-48e6-8741-2b3f9d01e0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f5f527-81e4-49f4-a8e9-b1c8807e1f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fdaa3e7a-fe5e-4d01-b6e4-84710e1e09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1f4b1-b14a-48e6-8741-2b3f9d01e0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158d18-1b6b-40e8-a09b-f23125848261}" ma:internalName="TaxCatchAll" ma:showField="CatchAllData" ma:web="f0d1f4b1-b14a-48e6-8741-2b3f9d01e0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526065-053E-473A-8C09-D278658A6769}"/>
</file>

<file path=customXml/itemProps2.xml><?xml version="1.0" encoding="utf-8"?>
<ds:datastoreItem xmlns:ds="http://schemas.openxmlformats.org/officeDocument/2006/customXml" ds:itemID="{FABCAB55-F89B-4A1F-8517-AD77CEA584CD}"/>
</file>

<file path=customXml/itemProps3.xml><?xml version="1.0" encoding="utf-8"?>
<ds:datastoreItem xmlns:ds="http://schemas.openxmlformats.org/officeDocument/2006/customXml" ds:itemID="{5BC6C5A5-19E1-4ECC-811B-0B7EB53A8D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hyahn79</dc:creator>
  <cp:keywords/>
  <dc:description/>
  <cp:lastModifiedBy>게스트 사용자</cp:lastModifiedBy>
  <cp:revision/>
  <dcterms:created xsi:type="dcterms:W3CDTF">2021-12-22T05:16:12Z</dcterms:created>
  <dcterms:modified xsi:type="dcterms:W3CDTF">2025-12-09T08:08:29Z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0x01010020CB1E882CAD3044876A9779843AF68A</vt:lpwstr>
  </property>
  <property fmtid="{D5CDD505-2E9C-101B-9397-08002B2CF9AE}" pid="3" name="MediaServiceImageTags">
    <vt:lpwstr/>
  </property>
  <property fmtid="{D5CDD505-2E9C-101B-9397-08002B2CF9AE}" pid="4" name="MSIP_Label_f78afb0b-cf10-4bf9-960e-5937f16a9379_Enabled">
    <vt:lpwstr>true</vt:lpwstr>
  </property>
  <property fmtid="{D5CDD505-2E9C-101B-9397-08002B2CF9AE}" pid="5" name="MSIP_Label_f78afb0b-cf10-4bf9-960e-5937f16a9379_SetDate">
    <vt:lpwstr>2025-11-11T15:14:43Z</vt:lpwstr>
  </property>
  <property fmtid="{D5CDD505-2E9C-101B-9397-08002B2CF9AE}" pid="6" name="MSIP_Label_f78afb0b-cf10-4bf9-960e-5937f16a9379_Method">
    <vt:lpwstr>Standard</vt:lpwstr>
  </property>
  <property fmtid="{D5CDD505-2E9C-101B-9397-08002B2CF9AE}" pid="7" name="MSIP_Label_f78afb0b-cf10-4bf9-960e-5937f16a9379_Name">
    <vt:lpwstr>Public</vt:lpwstr>
  </property>
  <property fmtid="{D5CDD505-2E9C-101B-9397-08002B2CF9AE}" pid="8" name="MSIP_Label_f78afb0b-cf10-4bf9-960e-5937f16a9379_SiteId">
    <vt:lpwstr>f754124d-f841-4b68-aec4-092f484be5e1</vt:lpwstr>
  </property>
  <property fmtid="{D5CDD505-2E9C-101B-9397-08002B2CF9AE}" pid="9" name="MSIP_Label_f78afb0b-cf10-4bf9-960e-5937f16a9379_ActionId">
    <vt:lpwstr>c9fb2a31-edd0-4c3c-a45b-b5a9a3b3740f</vt:lpwstr>
  </property>
  <property fmtid="{D5CDD505-2E9C-101B-9397-08002B2CF9AE}" pid="10" name="MSIP_Label_f78afb0b-cf10-4bf9-960e-5937f16a9379_ContentBits">
    <vt:lpwstr>0</vt:lpwstr>
  </property>
  <property fmtid="{D5CDD505-2E9C-101B-9397-08002B2CF9AE}" pid="11" name="MSIP_Label_f78afb0b-cf10-4bf9-960e-5937f16a9379_Tag">
    <vt:lpwstr>10, 3, 0, 1</vt:lpwstr>
  </property>
</Properties>
</file>